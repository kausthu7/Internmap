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README" sheetId="1" state="visible" r:id="rId1"/>
    <sheet name="Internships" sheetId="2" state="visible" r:id="rId2"/>
    <sheet name="Full-time" sheetId="3" state="visible" r:id="rId3"/>
    <sheet name="Part-time" sheetId="4" state="visible" r:id="rId4"/>
    <sheet name="All Jobs" sheetId="5" state="visible" r:id="rId5"/>
    <sheet name="Research Sources" sheetId="6" state="visible" r:id="rId6"/>
    <sheet name="Filter Options" sheetId="7" state="visible" r:id="rId7"/>
  </sheets>
  <definedNames>
    <definedName name="_xlnm._FilterDatabase" localSheetId="0" hidden="1">'README'!$A$1:$B$7</definedName>
    <definedName name="_xlnm._FilterDatabase" localSheetId="1" hidden="1">'Internships'!$A$1:$N$30</definedName>
    <definedName name="_xlnm._FilterDatabase" localSheetId="2" hidden="1">'Full-time'!$A$1:$N$21</definedName>
    <definedName name="_xlnm._FilterDatabase" localSheetId="3" hidden="1">'Part-time'!$A$1:$N$83</definedName>
    <definedName name="_xlnm._FilterDatabase" localSheetId="4" hidden="1">'All Jobs'!$A$1:$N$132</definedName>
    <definedName name="_xlnm._FilterDatabase" localSheetId="5" hidden="1">'Research Sources'!$A$1:$E$82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\-mm\-dd\ h:mm:ss"/>
  </numFmts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8" customWidth="1" min="1" max="1"/>
    <col width="95" customWidth="1" min="2" max="2"/>
  </cols>
  <sheetData>
    <row r="1" ht="31.95" customHeight="1">
      <c r="A1" s="1" t="inlineStr">
        <is>
          <t>Scope</t>
        </is>
      </c>
      <c r="B1" s="1" t="inlineStr">
        <is>
          <t>Details</t>
        </is>
      </c>
    </row>
    <row r="2">
      <c r="A2" s="2" t="inlineStr">
        <is>
          <t>Scope</t>
        </is>
      </c>
      <c r="B2" s="2" t="inlineStr">
        <is>
          <t>Paris + Greater Paris job database covering full-time, internship and part-time/student opportunities.</t>
        </is>
      </c>
    </row>
    <row r="3">
      <c r="A3" s="2" t="inlineStr">
        <is>
          <t>Research date</t>
        </is>
      </c>
      <c r="B3" s="2" t="inlineStr">
        <is>
          <t>21 August 2026</t>
        </is>
      </c>
    </row>
    <row r="4">
      <c r="A4" s="2" t="inlineStr">
        <is>
          <t>Reference structure</t>
        </is>
      </c>
      <c r="B4" s="2" t="inlineStr">
        <is>
          <t>Same 14-column structure as the current website dataset.</t>
        </is>
      </c>
    </row>
    <row r="5">
      <c r="A5" s="2" t="inlineStr">
        <is>
          <t>Location handling</t>
        </is>
      </c>
      <c r="B5" s="2" t="inlineStr">
        <is>
          <t>Each supplied location is retained as a separate row, including multiple locations for the same company or chain.</t>
        </is>
      </c>
    </row>
    <row r="6" ht="28.8" customHeight="1">
      <c r="A6" s="2" t="inlineStr">
        <is>
          <t>Hiring status</t>
        </is>
      </c>
      <c r="B6" s="2" t="inlineStr">
        <is>
          <t>Statuses are retained from the supplied research and should be rechecked because vacancies can close or change.</t>
        </is>
      </c>
    </row>
    <row r="7">
      <c r="A7" s="2" t="inlineStr">
        <is>
          <t>Application links</t>
        </is>
      </c>
      <c r="B7" s="2" t="inlineStr">
        <is>
          <t>Application/evidence links are retained from the supplied dataset.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1" topLeftCell="A19" activePane="bottomLeft" state="frozen"/>
      <selection pane="bottomLeft" activeCell="A2" sqref="A2:A30"/>
    </sheetView>
  </sheetViews>
  <sheetFormatPr baseColWidth="8" defaultRowHeight="14.4"/>
  <cols>
    <col width="18" customWidth="1" min="1" max="1"/>
    <col width="22" customWidth="1" min="2" max="2"/>
    <col width="24" customWidth="1" min="3" max="4"/>
    <col width="20" customWidth="1" min="5" max="5"/>
    <col width="28" customWidth="1" min="6" max="6"/>
    <col width="42" customWidth="1" min="7" max="7"/>
    <col width="48" customWidth="1" min="8" max="8"/>
    <col width="30" customWidth="1" min="9" max="9"/>
    <col width="55" customWidth="1" min="10" max="10"/>
    <col width="42" customWidth="1" min="11" max="11"/>
    <col width="24" customWidth="1" min="12" max="12"/>
    <col width="16" customWidth="1" min="13" max="13"/>
    <col width="75" customWidth="1" min="14" max="14"/>
  </cols>
  <sheetData>
    <row r="1" ht="31.95" customHeight="1">
      <c r="A1" s="4" t="inlineStr">
        <is>
          <t>Logo</t>
        </is>
      </c>
      <c r="B1" s="4" t="inlineStr">
        <is>
          <t>Company</t>
        </is>
      </c>
      <c r="C1" s="4" t="inlineStr">
        <is>
          <t>Type</t>
        </is>
      </c>
      <c r="D1" s="4" t="inlineStr">
        <is>
          <t>Area</t>
        </is>
      </c>
      <c r="E1" s="4" t="inlineStr">
        <is>
          <t>Stage</t>
        </is>
      </c>
      <c r="F1" s="4" t="inlineStr">
        <is>
          <t>Sector</t>
        </is>
      </c>
      <c r="G1" s="4" t="inlineStr">
        <is>
          <t>Internship Roles</t>
        </is>
      </c>
      <c r="H1" s="4" t="inlineStr">
        <is>
          <t>Location</t>
        </is>
      </c>
      <c r="I1" s="4" t="inlineStr">
        <is>
          <t>Hiring Status</t>
        </is>
      </c>
      <c r="J1" s="4" t="inlineStr">
        <is>
          <t>Application Link</t>
        </is>
      </c>
      <c r="K1" s="4" t="inlineStr">
        <is>
          <t>Company Website</t>
        </is>
      </c>
      <c r="L1" s="4" t="inlineStr">
        <is>
          <t>Logo Type</t>
        </is>
      </c>
      <c r="M1" s="4" t="inlineStr">
        <is>
          <t>Research Date</t>
        </is>
      </c>
      <c r="N1" s="4" t="inlineStr">
        <is>
          <t>Notes</t>
        </is>
      </c>
    </row>
    <row r="2" ht="43.2" customHeight="1">
      <c r="A2" t="e">
        <v>#VALUE!</v>
      </c>
      <c r="B2" s="2" t="inlineStr">
        <is>
          <t>Alan</t>
        </is>
      </c>
      <c r="C2" s="2" t="inlineStr">
        <is>
          <t>Internship</t>
        </is>
      </c>
      <c r="D2" s="2" t="inlineStr">
        <is>
          <t>Paris</t>
        </is>
      </c>
      <c r="E2" s="2" t="inlineStr">
        <is>
          <t>Not specified</t>
        </is>
      </c>
      <c r="F2" s="2" t="inlineStr">
        <is>
          <t>Healthtech / Insurtech</t>
        </is>
      </c>
      <c r="G2" s="2" t="inlineStr">
        <is>
          <t>Software Engineering Intern</t>
        </is>
      </c>
      <c r="H2" s="2" t="inlineStr">
        <is>
          <t>117 Quai de Valmy, 75010 Paris, France</t>
        </is>
      </c>
      <c r="I2" s="2" t="inlineStr">
        <is>
          <t>🟢 Current hiring signal found</t>
        </is>
      </c>
      <c r="J2" s="2" t="inlineStr">
        <is>
          <t>https://jobs.ashbyhq.com/alan/7f88aabb-e05f-4f50-89ce-c33ea3ee02df/</t>
        </is>
      </c>
      <c r="K2" s="2" t="inlineStr">
        <is>
          <t>https://alan.com/careers</t>
        </is>
      </c>
      <c r="L2" s="2" t="inlineStr">
        <is>
          <t>Favicon / company logo</t>
        </is>
      </c>
      <c r="M2" s="5" t="n">
        <v>46255</v>
      </c>
      <c r="N2" s="2" t="inlineStr">
        <is>
          <t>French: French not required; English-friendly | English: Required / useful / role-dependent | Student friendly: Yes | Embedded logo asset. Re-check the live job page before applying; vacancies can close or change.</t>
        </is>
      </c>
    </row>
    <row r="3" ht="28.8" customHeight="1">
      <c r="A3" t="e">
        <v>#VALUE!</v>
      </c>
      <c r="B3" s="2" t="inlineStr">
        <is>
          <t>Back Market</t>
        </is>
      </c>
      <c r="C3" s="2" t="inlineStr">
        <is>
          <t>Internship / Apprenticeship</t>
        </is>
      </c>
      <c r="D3" s="2" t="inlineStr">
        <is>
          <t>Paris</t>
        </is>
      </c>
      <c r="E3" s="2" t="inlineStr">
        <is>
          <t>Not specified</t>
        </is>
      </c>
      <c r="F3" s="2" t="inlineStr">
        <is>
          <t>E-commerce / Circular Tech</t>
        </is>
      </c>
      <c r="G3" s="2" t="inlineStr">
        <is>
          <t>Backend Engineer Apprentice / internship pathway</t>
        </is>
      </c>
      <c r="H3" s="2" t="inlineStr">
        <is>
          <t>199 Rue Championnet, 75018 Paris, France</t>
        </is>
      </c>
      <c r="I3" s="2" t="inlineStr">
        <is>
          <t>🟢 Current hiring signal found</t>
        </is>
      </c>
      <c r="J3" s="2" t="inlineStr">
        <is>
          <t>https://jobs.ashbyhq.com/backmarket/fcd2db82-bd03-46aa-929e-ffb4fd94527f</t>
        </is>
      </c>
      <c r="K3" s="2" t="inlineStr">
        <is>
          <t>https://jobs.ashbyhq.com/backmarket</t>
        </is>
      </c>
      <c r="L3" s="2" t="inlineStr">
        <is>
          <t>Favicon / company logo</t>
        </is>
      </c>
      <c r="M3" s="5" t="n">
        <v>46255</v>
      </c>
      <c r="N3" s="2" t="inlineStr">
        <is>
          <t>French: Role-dependent | English: Not specified | Student friendly: Yes | Embedded brand mark. Re-check the live job page before applying; vacancies can close or change.</t>
        </is>
      </c>
    </row>
    <row r="4" ht="43.2" customHeight="1">
      <c r="A4">
        <f>_xlfn.IMAGE("https://www.google.com/s2/favicons?domain=pigment.com&amp;sz=128","Pigment favicon")</f>
        <v/>
      </c>
      <c r="B4" s="2" t="inlineStr">
        <is>
          <t>Pigment</t>
        </is>
      </c>
      <c r="C4" s="2" t="inlineStr">
        <is>
          <t>Internship</t>
        </is>
      </c>
      <c r="D4" s="2" t="inlineStr">
        <is>
          <t>Paris</t>
        </is>
      </c>
      <c r="E4" s="2" t="inlineStr">
        <is>
          <t>Not specified</t>
        </is>
      </c>
      <c r="F4" s="2" t="inlineStr">
        <is>
          <t>SaaS</t>
        </is>
      </c>
      <c r="G4" s="2" t="inlineStr">
        <is>
          <t>Business Development / Growth Marketing Intern</t>
        </is>
      </c>
      <c r="H4" s="2" t="inlineStr">
        <is>
          <t>12 Rue Sainte-Cécile, 75009 Paris, France</t>
        </is>
      </c>
      <c r="I4" s="2" t="inlineStr">
        <is>
          <t>🟢 Current hiring signal found</t>
        </is>
      </c>
      <c r="J4" s="2" t="inlineStr">
        <is>
          <t>https://jobs.lever.co/pigment</t>
        </is>
      </c>
      <c r="K4" s="2" t="inlineStr">
        <is>
          <t>https://www.pigment.com/careers</t>
        </is>
      </c>
      <c r="L4" s="2" t="inlineStr">
        <is>
          <t>Favicon / company logo</t>
        </is>
      </c>
      <c r="M4" s="5" t="n">
        <v>46255</v>
      </c>
      <c r="N4" s="2" t="inlineStr">
        <is>
          <t>French: English-first / role-dependent | English: Required / useful / role-dependent | Student friendly: Yes | Embedded brand mark. Re-check the live job page before applying; vacancies can close or change.</t>
        </is>
      </c>
    </row>
    <row r="5" ht="28.8" customHeight="1">
      <c r="A5">
        <f>_xlfn.IMAGE("https://www.google.com/s2/favicons?domain=qonto.com&amp;sz=128","Qonto favicon")</f>
        <v/>
      </c>
      <c r="B5" s="2" t="inlineStr">
        <is>
          <t>Qonto</t>
        </is>
      </c>
      <c r="C5" s="2" t="inlineStr">
        <is>
          <t>Internship</t>
        </is>
      </c>
      <c r="D5" s="2" t="inlineStr">
        <is>
          <t>Paris</t>
        </is>
      </c>
      <c r="E5" s="2" t="inlineStr">
        <is>
          <t>Not specified</t>
        </is>
      </c>
      <c r="F5" s="2" t="inlineStr">
        <is>
          <t>Fintech</t>
        </is>
      </c>
      <c r="G5" s="2" t="inlineStr">
        <is>
          <t>Talent / Product Marketing internships</t>
        </is>
      </c>
      <c r="H5" s="2" t="inlineStr">
        <is>
          <t>18 Rue de Navarin, 75009 Paris, France</t>
        </is>
      </c>
      <c r="I5" s="2" t="inlineStr">
        <is>
          <t>🟢 Current hiring signal found</t>
        </is>
      </c>
      <c r="J5" s="2" t="inlineStr">
        <is>
          <t>https://jobs.lever.co/qonto?commitment=Internship</t>
        </is>
      </c>
      <c r="K5" s="2" t="inlineStr">
        <is>
          <t>https://qonto.com/en/careers</t>
        </is>
      </c>
      <c r="L5" s="2" t="inlineStr">
        <is>
          <t>Favicon / company logo</t>
        </is>
      </c>
      <c r="M5" s="5" t="n">
        <v>46255</v>
      </c>
      <c r="N5" s="2" t="inlineStr">
        <is>
          <t>French: Role-dependent | English: Not specified | Student friendly: Yes | Embedded brand mark. Re-check the live job page before applying; vacancies can close or change.</t>
        </is>
      </c>
    </row>
    <row r="6" ht="28.8" customHeight="1">
      <c r="A6">
        <f>_xlfn.IMAGE("https://www.google.com/s2/favicons?domain=malt.com&amp;sz=128","Malt favicon")</f>
        <v/>
      </c>
      <c r="B6" s="2" t="inlineStr">
        <is>
          <t>Malt</t>
        </is>
      </c>
      <c r="C6" s="2" t="inlineStr">
        <is>
          <t>Internship</t>
        </is>
      </c>
      <c r="D6" s="2" t="inlineStr">
        <is>
          <t>Paris</t>
        </is>
      </c>
      <c r="E6" s="2" t="inlineStr">
        <is>
          <t>Not specified</t>
        </is>
      </c>
      <c r="F6" s="2" t="inlineStr">
        <is>
          <t>SaaS / Future of Work</t>
        </is>
      </c>
      <c r="G6" s="2" t="inlineStr">
        <is>
          <t>Account Management / Analytics internships</t>
        </is>
      </c>
      <c r="H6" s="2" t="inlineStr">
        <is>
          <t>18 Rue Godot de Mauroy, 75009 Paris, France</t>
        </is>
      </c>
      <c r="I6" s="2" t="inlineStr">
        <is>
          <t>🟢 Current hiring signal found</t>
        </is>
      </c>
      <c r="J6" s="2" t="inlineStr">
        <is>
          <t>https://jobs.lever.co/malt?commitment=FR%20Intern</t>
        </is>
      </c>
      <c r="K6" s="2" t="inlineStr">
        <is>
          <t>https://www.malt.com/careers</t>
        </is>
      </c>
      <c r="L6" s="2" t="inlineStr">
        <is>
          <t>Favicon / company logo</t>
        </is>
      </c>
      <c r="M6" s="5" t="n">
        <v>46255</v>
      </c>
      <c r="N6" s="2" t="inlineStr">
        <is>
          <t>French: Role-dependent | English: Not specified | Student friendly: Yes | Embedded logo asset. Re-check the live job page before applying; vacancies can close or change.</t>
        </is>
      </c>
    </row>
    <row r="7" ht="43.2" customHeight="1">
      <c r="A7">
        <f>_xlfn.IMAGE("https://www.google.com/s2/favicons?domain=skello.io&amp;sz=128","Skello favicon")</f>
        <v/>
      </c>
      <c r="B7" s="2" t="inlineStr">
        <is>
          <t>Skello</t>
        </is>
      </c>
      <c r="C7" s="2" t="inlineStr">
        <is>
          <t>Internship</t>
        </is>
      </c>
      <c r="D7" s="2" t="inlineStr">
        <is>
          <t>Paris 3e</t>
        </is>
      </c>
      <c r="E7" s="2" t="inlineStr">
        <is>
          <t>Not specified</t>
        </is>
      </c>
      <c r="F7" s="2" t="inlineStr">
        <is>
          <t>HR Tech / SaaS</t>
        </is>
      </c>
      <c r="G7" s="2" t="inlineStr">
        <is>
          <t>Growth Marketing Intern</t>
        </is>
      </c>
      <c r="H7" s="2" t="inlineStr">
        <is>
          <t>69 Rue Beaubourg, 75003 Paris, France</t>
        </is>
      </c>
      <c r="I7" s="2" t="inlineStr">
        <is>
          <t>🟢 Current hiring signal found</t>
        </is>
      </c>
      <c r="J7" s="2" t="inlineStr">
        <is>
          <t>https://app.welcometothejungle.com/jobs/30v_UCe_</t>
        </is>
      </c>
      <c r="K7" s="2" t="inlineStr">
        <is>
          <t>https://www.skello.io/</t>
        </is>
      </c>
      <c r="L7" s="2" t="inlineStr">
        <is>
          <t>Favicon / company logo</t>
        </is>
      </c>
      <c r="M7" s="5" t="n">
        <v>46255</v>
      </c>
      <c r="N7" s="2" t="inlineStr">
        <is>
          <t>French: French likely for France-facing work | English: Not specified | Student friendly: Yes | Embedded brand mark. Re-check the live job page before applying; vacancies can close or change.</t>
        </is>
      </c>
    </row>
    <row r="8" ht="43.2" customHeight="1">
      <c r="A8">
        <f>_xlfn.IMAGE("https://www.google.com/s2/favicons?domain=aircall.io&amp;sz=128","Aircall favicon")</f>
        <v/>
      </c>
      <c r="B8" s="2" t="inlineStr">
        <is>
          <t>Aircall</t>
        </is>
      </c>
      <c r="C8" s="2" t="inlineStr">
        <is>
          <t>Internship</t>
        </is>
      </c>
      <c r="D8" s="2" t="inlineStr">
        <is>
          <t>Paris 9e</t>
        </is>
      </c>
      <c r="E8" s="2" t="inlineStr">
        <is>
          <t>Not specified</t>
        </is>
      </c>
      <c r="F8" s="2" t="inlineStr">
        <is>
          <t>SaaS / Communications</t>
        </is>
      </c>
      <c r="G8" s="2" t="inlineStr">
        <is>
          <t>Sales Intern – French Market</t>
        </is>
      </c>
      <c r="H8" s="2" t="inlineStr">
        <is>
          <t>11 Rue Saint-Georges, 75009 Paris, France</t>
        </is>
      </c>
      <c r="I8" s="2" t="inlineStr">
        <is>
          <t>🟢 Current hiring signal found</t>
        </is>
      </c>
      <c r="J8" s="2" t="inlineStr">
        <is>
          <t>https://app.welcometothejungle.com/jobs/pziptkOd</t>
        </is>
      </c>
      <c r="K8" s="2" t="inlineStr">
        <is>
          <t>https://aircall.io/careers/</t>
        </is>
      </c>
      <c r="L8" s="2" t="inlineStr">
        <is>
          <t>Favicon / company logo</t>
        </is>
      </c>
      <c r="M8" s="5" t="n">
        <v>46255</v>
      </c>
      <c r="N8" s="2" t="inlineStr">
        <is>
          <t>French: French required for France-facing role; English useful | English: Required / useful / role-dependent | Student friendly: Yes | Embedded logo asset. Re-check the live job page before applying; vacancies can close or change.</t>
        </is>
      </c>
    </row>
    <row r="9" ht="43.2" customHeight="1">
      <c r="A9">
        <f>_xlfn.IMAGE("https://www.google.com/s2/favicons?domain=voodoo.io&amp;sz=128","Voodoo favicon")</f>
        <v/>
      </c>
      <c r="B9" s="2" t="inlineStr">
        <is>
          <t>Voodoo</t>
        </is>
      </c>
      <c r="C9" s="2" t="inlineStr">
        <is>
          <t>Internship</t>
        </is>
      </c>
      <c r="D9" s="2" t="inlineStr">
        <is>
          <t>Paris</t>
        </is>
      </c>
      <c r="E9" s="2" t="inlineStr">
        <is>
          <t>Not specified</t>
        </is>
      </c>
      <c r="F9" s="2" t="inlineStr">
        <is>
          <t>Gaming / Mobile</t>
        </is>
      </c>
      <c r="G9" s="2" t="inlineStr">
        <is>
          <t>Legal / Growth Monetization internships</t>
        </is>
      </c>
      <c r="H9" s="2" t="inlineStr">
        <is>
          <t>20 Rue de Charonne, 75011 Paris, France</t>
        </is>
      </c>
      <c r="I9" s="2" t="inlineStr">
        <is>
          <t>🟢 Current hiring signal found</t>
        </is>
      </c>
      <c r="J9" s="2" t="inlineStr">
        <is>
          <t>https://app.welcometothejungle.com/jobs/zjdEzaXo</t>
        </is>
      </c>
      <c r="K9" s="2" t="inlineStr">
        <is>
          <t>https://voodoo.io/careers</t>
        </is>
      </c>
      <c r="L9" s="2" t="inlineStr">
        <is>
          <t>Favicon / company logo</t>
        </is>
      </c>
      <c r="M9" s="5" t="n">
        <v>46255</v>
      </c>
      <c r="N9" s="2" t="inlineStr">
        <is>
          <t>French: Role-dependent; English common | English: Required / useful / role-dependent | Student friendly: Yes | Embedded logo asset. Re-check the live job page before applying; vacancies can close or change.</t>
        </is>
      </c>
    </row>
    <row r="10" ht="28.8" customHeight="1">
      <c r="A10">
        <f>_xlfn.IMAGE("https://www.google.com/s2/favicons?domain=quandela.com&amp;sz=128","Quandela favicon")</f>
        <v/>
      </c>
      <c r="B10" s="2" t="inlineStr">
        <is>
          <t>Quandela</t>
        </is>
      </c>
      <c r="C10" s="2" t="inlineStr">
        <is>
          <t>Internship</t>
        </is>
      </c>
      <c r="D10" s="2" t="inlineStr">
        <is>
          <t>Massy</t>
        </is>
      </c>
      <c r="E10" s="2" t="inlineStr">
        <is>
          <t>Not specified</t>
        </is>
      </c>
      <c r="F10" s="2" t="inlineStr">
        <is>
          <t>Quantum / Deeptech</t>
        </is>
      </c>
      <c r="G10" s="2" t="inlineStr">
        <is>
          <t>HR / Business / Marketing internship</t>
        </is>
      </c>
      <c r="H10" s="2" t="inlineStr">
        <is>
          <t>7 Rue Léonard de Vinci, 91300 Massy, France</t>
        </is>
      </c>
      <c r="I10" s="2" t="inlineStr">
        <is>
          <t>🟢 Current hiring signal found</t>
        </is>
      </c>
      <c r="J10" s="2" t="inlineStr">
        <is>
          <t>https://app.welcometothejungle.com/jobs/Iqqq3Huo</t>
        </is>
      </c>
      <c r="K10" s="2" t="inlineStr">
        <is>
          <t>https://www.quandela.com/</t>
        </is>
      </c>
      <c r="L10" s="2" t="inlineStr">
        <is>
          <t>Favicon / company logo</t>
        </is>
      </c>
      <c r="M10" s="5" t="n">
        <v>46255</v>
      </c>
      <c r="N10" s="2" t="inlineStr">
        <is>
          <t>French: Role-dependent | English: Not specified | Student friendly: Yes | Embedded brand mark. Re-check the live job page before applying; vacancies can close or change.</t>
        </is>
      </c>
    </row>
    <row r="11" ht="43.2" customHeight="1">
      <c r="A11">
        <f>_xlfn.IMAGE("https://www.google.com/s2/favicons?domain=daisyapp.fr&amp;sz=128","Daisy favicon")</f>
        <v/>
      </c>
      <c r="B11" s="2" t="inlineStr">
        <is>
          <t>Daisy</t>
        </is>
      </c>
      <c r="C11" s="2" t="inlineStr">
        <is>
          <t>Internship</t>
        </is>
      </c>
      <c r="D11" s="2" t="inlineStr">
        <is>
          <t>Paris 1e</t>
        </is>
      </c>
      <c r="E11" s="2" t="inlineStr">
        <is>
          <t>Not specified</t>
        </is>
      </c>
      <c r="F11" s="2" t="inlineStr">
        <is>
          <t>SaaS / Automation</t>
        </is>
      </c>
      <c r="G11" s="2" t="inlineStr">
        <is>
          <t>Product Builder / No-code internship</t>
        </is>
      </c>
      <c r="H11" s="2" t="inlineStr">
        <is>
          <t>99 Rue du Bac, 75007 Paris, France</t>
        </is>
      </c>
      <c r="I11" s="2" t="inlineStr">
        <is>
          <t>🟢 Current hiring signal found</t>
        </is>
      </c>
      <c r="J11" s="2" t="inlineStr">
        <is>
          <t>https://www.welcometothejungle.com/fr/companies/daisy/jobs/stage-no-code-automatisation-fin-d-etudes-make-api-saas_paris</t>
        </is>
      </c>
      <c r="K11" s="2" t="inlineStr">
        <is>
          <t>https://www.daisyapp.fr/</t>
        </is>
      </c>
      <c r="L11" s="2" t="inlineStr">
        <is>
          <t>Favicon / company logo</t>
        </is>
      </c>
      <c r="M11" s="5" t="n">
        <v>46255</v>
      </c>
      <c r="N11" s="2" t="inlineStr">
        <is>
          <t>French: French likely / role-dependent | English: Not specified | Student friendly: Yes | Embedded logo asset. Re-check the live job page before applying; vacancies can close or change.</t>
        </is>
      </c>
    </row>
    <row r="12" ht="43.2" customHeight="1">
      <c r="A12">
        <f>_xlfn.IMAGE("https://www.google.com/s2/favicons?domain=roundtable.eu&amp;sz=128","Roundtable favicon")</f>
        <v/>
      </c>
      <c r="B12" s="2" t="inlineStr">
        <is>
          <t>Roundtable</t>
        </is>
      </c>
      <c r="C12" s="2" t="inlineStr">
        <is>
          <t>Internship</t>
        </is>
      </c>
      <c r="D12" s="2" t="inlineStr">
        <is>
          <t>Paris 2e</t>
        </is>
      </c>
      <c r="E12" s="2" t="inlineStr">
        <is>
          <t>Not specified</t>
        </is>
      </c>
      <c r="F12" s="2" t="inlineStr">
        <is>
          <t>Fintech / Private Markets</t>
        </is>
      </c>
      <c r="G12" s="2" t="inlineStr">
        <is>
          <t>Growth Intern</t>
        </is>
      </c>
      <c r="H12" s="2" t="inlineStr">
        <is>
          <t>60 Rue François 1er, 75008 Paris, France</t>
        </is>
      </c>
      <c r="I12" s="2" t="inlineStr">
        <is>
          <t>🟢 Current hiring signal found</t>
        </is>
      </c>
      <c r="J12" s="2" t="inlineStr">
        <is>
          <t>https://www.welcometothejungle.com/fr/companies/roundtable/jobs/growth-intern_paris</t>
        </is>
      </c>
      <c r="K12" s="2" t="inlineStr">
        <is>
          <t>https://roundtable.eu/</t>
        </is>
      </c>
      <c r="L12" s="2" t="inlineStr">
        <is>
          <t>Favicon / company logo</t>
        </is>
      </c>
      <c r="M12" s="5" t="n">
        <v>46255</v>
      </c>
      <c r="N12" s="2" t="inlineStr">
        <is>
          <t>French: English-first / not specified | English: Required / useful / role-dependent | Student friendly: Yes | Embedded logo asset. Re-check the live job page before applying; vacancies can close or change.</t>
        </is>
      </c>
    </row>
    <row r="13" ht="43.2" customHeight="1">
      <c r="A13" t="e">
        <v>#VALUE!</v>
      </c>
      <c r="B13" s="2" t="inlineStr">
        <is>
          <t>Rollee</t>
        </is>
      </c>
      <c r="C13" s="2" t="inlineStr">
        <is>
          <t>Internship</t>
        </is>
      </c>
      <c r="D13" s="2" t="inlineStr">
        <is>
          <t>Paris 8e</t>
        </is>
      </c>
      <c r="E13" s="2" t="inlineStr">
        <is>
          <t>Not specified</t>
        </is>
      </c>
      <c r="F13" s="2" t="inlineStr">
        <is>
          <t>Fintech / Employment Data</t>
        </is>
      </c>
      <c r="G13" s="2" t="inlineStr">
        <is>
          <t>Product &amp; Brand Designer Intern</t>
        </is>
      </c>
      <c r="H13" s="2" t="inlineStr">
        <is>
          <t>25 Rue de Ponthieu, 75008 Paris, France</t>
        </is>
      </c>
      <c r="I13" s="2" t="inlineStr">
        <is>
          <t>🟢 Current hiring signal found</t>
        </is>
      </c>
      <c r="J13" s="2" t="inlineStr">
        <is>
          <t>https://app.welcometothejungle.com/jobs/Y7Hz8eaQ</t>
        </is>
      </c>
      <c r="K13" s="2" t="inlineStr">
        <is>
          <t>https://www.rollee.io/</t>
        </is>
      </c>
      <c r="L13" s="2" t="inlineStr">
        <is>
          <t>Favicon / company logo</t>
        </is>
      </c>
      <c r="M13" s="5" t="n">
        <v>46255</v>
      </c>
      <c r="N13" s="2" t="inlineStr">
        <is>
          <t>French: English likely; role-dependent | English: Required / useful / role-dependent | Student friendly: Yes | Embedded brand mark. Re-check the live job page before applying; vacancies can close or change.</t>
        </is>
      </c>
    </row>
    <row r="14" ht="28.8" customHeight="1">
      <c r="A14" t="e">
        <v>#VALUE!</v>
      </c>
      <c r="B14" s="2" t="inlineStr">
        <is>
          <t>Deepomatic</t>
        </is>
      </c>
      <c r="C14" s="2" t="inlineStr">
        <is>
          <t>Internship</t>
        </is>
      </c>
      <c r="D14" s="2" t="inlineStr">
        <is>
          <t>Paris 3e</t>
        </is>
      </c>
      <c r="E14" s="2" t="inlineStr">
        <is>
          <t>Not specified</t>
        </is>
      </c>
      <c r="F14" s="2" t="inlineStr">
        <is>
          <t>AI / Computer Vision</t>
        </is>
      </c>
      <c r="G14" s="2" t="inlineStr">
        <is>
          <t>Solutions Architect Intern</t>
        </is>
      </c>
      <c r="H14" s="2" t="inlineStr">
        <is>
          <t>53 Rue de Turbigo, 75003 Paris, France</t>
        </is>
      </c>
      <c r="I14" s="2" t="inlineStr">
        <is>
          <t>🟢 Current hiring signal found</t>
        </is>
      </c>
      <c r="J14" s="2" t="inlineStr">
        <is>
          <t>https://app.welcometothejungle.com/jobs/-gN5RXKs/company</t>
        </is>
      </c>
      <c r="K14" s="2" t="inlineStr">
        <is>
          <t>https://deepomatic.com/</t>
        </is>
      </c>
      <c r="L14" s="2" t="inlineStr">
        <is>
          <t>Favicon / company logo</t>
        </is>
      </c>
      <c r="M14" s="5" t="n">
        <v>46255</v>
      </c>
      <c r="N14" s="2" t="inlineStr">
        <is>
          <t>French: Role-dependent | English: Not specified | Student friendly: Yes | Embedded logo asset. Re-check the live job page before applying; vacancies can close or change.</t>
        </is>
      </c>
    </row>
    <row r="15" ht="43.2" customHeight="1">
      <c r="A15">
        <f>_xlfn.IMAGE("https://www.google.com/s2/favicons?domain=wakeo.co&amp;sz=128","Wakeo favicon")</f>
        <v/>
      </c>
      <c r="B15" s="2" t="inlineStr">
        <is>
          <t>Wakeo</t>
        </is>
      </c>
      <c r="C15" s="2" t="inlineStr">
        <is>
          <t>Internship</t>
        </is>
      </c>
      <c r="D15" s="2" t="inlineStr">
        <is>
          <t>Paris 9e</t>
        </is>
      </c>
      <c r="E15" s="2" t="inlineStr">
        <is>
          <t>Not specified</t>
        </is>
      </c>
      <c r="F15" s="2" t="inlineStr">
        <is>
          <t>Supply Chain SaaS</t>
        </is>
      </c>
      <c r="G15" s="2" t="inlineStr">
        <is>
          <t>Sales Lead Generation Intern</t>
        </is>
      </c>
      <c r="H15" s="2" t="inlineStr">
        <is>
          <t>6 Rue Auber, 75009 Paris, France</t>
        </is>
      </c>
      <c r="I15" s="2" t="inlineStr">
        <is>
          <t>🟢 Current hiring signal found</t>
        </is>
      </c>
      <c r="J15" s="2" t="inlineStr">
        <is>
          <t>https://app.welcometothejungle.com/jobs/ijcz3uZS/company</t>
        </is>
      </c>
      <c r="K15" s="2" t="inlineStr">
        <is>
          <t>https://wakeo.co/</t>
        </is>
      </c>
      <c r="L15" s="2" t="inlineStr">
        <is>
          <t>Favicon / company logo</t>
        </is>
      </c>
      <c r="M15" s="5" t="n">
        <v>46255</v>
      </c>
      <c r="N15" s="2" t="inlineStr">
        <is>
          <t>French: French likely; English useful | English: Required / useful / role-dependent | Student friendly: Yes | Embedded logo asset. Re-check the live job page before applying; vacancies can close or change.</t>
        </is>
      </c>
    </row>
    <row r="16" ht="28.8" customHeight="1">
      <c r="A16">
        <f>_xlfn.IMAGE("https://www.google.com/s2/favicons?domain=zeplug.com&amp;sz=128","ZEPLUG favicon")</f>
        <v/>
      </c>
      <c r="B16" s="2" t="inlineStr">
        <is>
          <t>ZEPLUG</t>
        </is>
      </c>
      <c r="C16" s="2" t="inlineStr">
        <is>
          <t>Internship</t>
        </is>
      </c>
      <c r="D16" s="2" t="inlineStr">
        <is>
          <t>Paris 9e</t>
        </is>
      </c>
      <c r="E16" s="2" t="inlineStr">
        <is>
          <t>Not specified</t>
        </is>
      </c>
      <c r="F16" s="2" t="inlineStr">
        <is>
          <t>EV Charging / Climate Tech</t>
        </is>
      </c>
      <c r="G16" s="2" t="inlineStr">
        <is>
          <t>Automation &amp; Innovation Intern</t>
        </is>
      </c>
      <c r="H16" s="2" t="inlineStr">
        <is>
          <t>10 Rue du Faubourg Montmartre, 75009 Paris, France</t>
        </is>
      </c>
      <c r="I16" s="2" t="inlineStr">
        <is>
          <t>🟢 Current hiring signal found</t>
        </is>
      </c>
      <c r="J16" s="2" t="inlineStr">
        <is>
          <t>https://www.welcometothejungle.com/fr/companies/zeplug/jobs/stage-automatisation-et-innovation_paris</t>
        </is>
      </c>
      <c r="K16" s="2" t="inlineStr">
        <is>
          <t>https://www.zeplug.com/</t>
        </is>
      </c>
      <c r="L16" s="2" t="inlineStr">
        <is>
          <t>Favicon / company logo</t>
        </is>
      </c>
      <c r="M16" s="5" t="n">
        <v>46255</v>
      </c>
      <c r="N16" s="2" t="inlineStr">
        <is>
          <t>French: French likely | English: Not specified | Student friendly: Yes | Embedded brand mark. Re-check the live job page before applying; vacancies can close or change.</t>
        </is>
      </c>
    </row>
    <row r="17" ht="28.8" customHeight="1">
      <c r="A17" s="2" t="e">
        <v>#VALUE!</v>
      </c>
      <c r="B17" s="2" t="inlineStr">
        <is>
          <t>Neosilver</t>
        </is>
      </c>
      <c r="C17" s="2" t="inlineStr">
        <is>
          <t>Internship</t>
        </is>
      </c>
      <c r="D17" s="2" t="inlineStr">
        <is>
          <t>Paris 12e</t>
        </is>
      </c>
      <c r="E17" s="2" t="inlineStr">
        <is>
          <t>Not specified</t>
        </is>
      </c>
      <c r="F17" s="2" t="inlineStr">
        <is>
          <t>Health / SocialTech</t>
        </is>
      </c>
      <c r="G17" s="2" t="inlineStr">
        <is>
          <t>Commercial / Partnerships Internships</t>
        </is>
      </c>
      <c r="H17" s="2" t="inlineStr">
        <is>
          <t>61 Rue de Lyon, 75012 Paris, France</t>
        </is>
      </c>
      <c r="I17" s="2" t="inlineStr">
        <is>
          <t>🟢 Current hiring signal found</t>
        </is>
      </c>
      <c r="J17" s="2" t="inlineStr">
        <is>
          <t>https://www.welcometothejungle.com/en/companies/neosilver/jobs/stage-commercial-e-marches-publics-aap-ao_paris</t>
        </is>
      </c>
      <c r="K17" s="2" t="inlineStr">
        <is>
          <t>https://neosilver.fr/</t>
        </is>
      </c>
      <c r="L17" s="2" t="inlineStr">
        <is>
          <t>Favicon / company logo</t>
        </is>
      </c>
      <c r="M17" s="5" t="n">
        <v>46255</v>
      </c>
      <c r="N17" s="2" t="inlineStr">
        <is>
          <t>French: French likely | English: Not specified | Student friendly: Yes | Embedded logo asset. Re-check the live job page before applying; vacancies can close or change.</t>
        </is>
      </c>
    </row>
    <row r="18" ht="43.2" customHeight="1">
      <c r="A18" s="2" t="e">
        <v>#VALUE!</v>
      </c>
      <c r="B18" s="2" t="inlineStr">
        <is>
          <t>Estuaire</t>
        </is>
      </c>
      <c r="C18" s="2" t="inlineStr">
        <is>
          <t>Internship</t>
        </is>
      </c>
      <c r="D18" s="2" t="inlineStr">
        <is>
          <t>Paris 3e</t>
        </is>
      </c>
      <c r="E18" s="2" t="inlineStr">
        <is>
          <t>Not specified</t>
        </is>
      </c>
      <c r="F18" s="2" t="inlineStr">
        <is>
          <t>Climate / Aerospace</t>
        </is>
      </c>
      <c r="G18" s="2" t="inlineStr">
        <is>
          <t>Founders Associate / Aerospace Data Science</t>
        </is>
      </c>
      <c r="H18" s="2" t="inlineStr">
        <is>
          <t>10 Rue Réaumur, 75003 Paris, France</t>
        </is>
      </c>
      <c r="I18" s="2" t="inlineStr">
        <is>
          <t>🟢 Current hiring signal found</t>
        </is>
      </c>
      <c r="J18" s="2" t="inlineStr">
        <is>
          <t>https://www.welcometothejungle.com/en/companies/estuaire/jobs/founders-associate-internship-or-apprenticeship_paris</t>
        </is>
      </c>
      <c r="K18" s="2" t="inlineStr">
        <is>
          <t>https://www.estuaire.tech/</t>
        </is>
      </c>
      <c r="L18" s="2" t="inlineStr">
        <is>
          <t>Favicon / company logo</t>
        </is>
      </c>
      <c r="M18" s="5" t="n">
        <v>46255</v>
      </c>
      <c r="N18" s="2" t="inlineStr">
        <is>
          <t>French: English-friendly / role-dependent | English: Required / useful / role-dependent | Student friendly: Yes | Embedded logo asset. Re-check the live job page before applying; vacancies can close or change.</t>
        </is>
      </c>
    </row>
    <row r="19" ht="28.8" customHeight="1">
      <c r="A19">
        <f>_xlfn.IMAGE("https://www.google.com/s2/favicons?domain=blissim.fr&amp;sz=128","Blissim favicon")</f>
        <v/>
      </c>
      <c r="B19" s="2" t="inlineStr">
        <is>
          <t>Blissim</t>
        </is>
      </c>
      <c r="C19" s="2" t="inlineStr">
        <is>
          <t>Internship</t>
        </is>
      </c>
      <c r="D19" s="2" t="inlineStr">
        <is>
          <t>Paris 9e</t>
        </is>
      </c>
      <c r="E19" s="2" t="inlineStr">
        <is>
          <t>Not specified</t>
        </is>
      </c>
      <c r="F19" s="2" t="inlineStr">
        <is>
          <t>Beauty / E-commerce</t>
        </is>
      </c>
      <c r="G19" s="2" t="inlineStr">
        <is>
          <t>Supply Chain &amp; Data Engineering Intern</t>
        </is>
      </c>
      <c r="H19" s="2" t="inlineStr">
        <is>
          <t>10 Rue du Faubourg-Montmartre, 75009 Paris, France</t>
        </is>
      </c>
      <c r="I19" s="2" t="inlineStr">
        <is>
          <t>🟢 Current hiring signal found</t>
        </is>
      </c>
      <c r="J19" s="2" t="inlineStr">
        <is>
          <t>https://www.welcometothejungle.com/fr/companies/blissim/jobs/stage-ingenieur-data-amelioration-continue_paris</t>
        </is>
      </c>
      <c r="K19" s="2" t="inlineStr">
        <is>
          <t>https://blissim.fr/</t>
        </is>
      </c>
      <c r="L19" s="2" t="inlineStr">
        <is>
          <t>Favicon / company logo</t>
        </is>
      </c>
      <c r="M19" s="5" t="n">
        <v>46255</v>
      </c>
      <c r="N19" s="2" t="inlineStr">
        <is>
          <t>French: Role-dependent | English: Not specified | Student friendly: Yes | Embedded logo asset. Re-check the live job page before applying; vacancies can close or change.</t>
        </is>
      </c>
    </row>
    <row r="20" ht="43.2" customHeight="1">
      <c r="A20">
        <f>_xlfn.IMAGE("https://www.google.com/s2/favicons?domain=careers.doctolib.fr&amp;sz=128","Doctolib favicon")</f>
        <v/>
      </c>
      <c r="B20" s="2" t="inlineStr">
        <is>
          <t>Doctolib</t>
        </is>
      </c>
      <c r="C20" s="2" t="inlineStr">
        <is>
          <t>Internship</t>
        </is>
      </c>
      <c r="D20" s="2" t="inlineStr">
        <is>
          <t>Levallois-Perret</t>
        </is>
      </c>
      <c r="E20" s="2" t="inlineStr">
        <is>
          <t>Not specified</t>
        </is>
      </c>
      <c r="F20" s="2" t="inlineStr">
        <is>
          <t>Healthtech</t>
        </is>
      </c>
      <c r="G20" s="2" t="inlineStr">
        <is>
          <t>Consolidation &amp; Financial Control Internship</t>
        </is>
      </c>
      <c r="H20" s="2" t="inlineStr">
        <is>
          <t>54 Quai Charles Pasqua, 92300 Levallois-Perret, France</t>
        </is>
      </c>
      <c r="I20" s="2" t="inlineStr">
        <is>
          <t>🟢 Current hiring signal found</t>
        </is>
      </c>
      <c r="J20" s="2" t="inlineStr">
        <is>
          <t>https://www.welcometothejungle.com/fr/companies/doctolib/jobs/stage-consolidation-et-controle-financier-x-f-m-septembre-2026_paris</t>
        </is>
      </c>
      <c r="K20" s="2" t="inlineStr">
        <is>
          <t>https://careers.doctolib.fr/</t>
        </is>
      </c>
      <c r="L20" s="2" t="inlineStr">
        <is>
          <t>Favicon / company logo</t>
        </is>
      </c>
      <c r="M20" s="5" t="n">
        <v>46255</v>
      </c>
      <c r="N20" s="2" t="inlineStr">
        <is>
          <t>French: French + English role-dependent | English: Required / useful / role-dependent | Student friendly: Yes | Embedded logo asset. Re-check the live job page before applying; vacancies can close or change.</t>
        </is>
      </c>
    </row>
    <row r="21" ht="43.2" customHeight="1">
      <c r="A21">
        <f>_xlfn.IMAGE("https://www.google.com/s2/favicons?domain=garantme.fr&amp;sz=128","Garantme favicon")</f>
        <v/>
      </c>
      <c r="B21" s="2" t="inlineStr">
        <is>
          <t>Garantme</t>
        </is>
      </c>
      <c r="C21" s="2" t="inlineStr">
        <is>
          <t>Internship</t>
        </is>
      </c>
      <c r="D21" s="2" t="inlineStr">
        <is>
          <t>Paris 2e</t>
        </is>
      </c>
      <c r="E21" s="2" t="inlineStr">
        <is>
          <t>Not specified</t>
        </is>
      </c>
      <c r="F21" s="2" t="inlineStr">
        <is>
          <t>Fintech / Insurtech</t>
        </is>
      </c>
      <c r="G21" s="2" t="inlineStr">
        <is>
          <t>Business Development &amp; Sales Intern</t>
        </is>
      </c>
      <c r="H21" s="2" t="inlineStr">
        <is>
          <t>9 Rue des Colonnes, 75002 Paris, France</t>
        </is>
      </c>
      <c r="I21" s="2" t="inlineStr">
        <is>
          <t>🟢 Current hiring signal found</t>
        </is>
      </c>
      <c r="J21" s="2" t="inlineStr">
        <is>
          <t>https://www.welcometothejungle.com/fr/companies/garantme-1/jobs/business-development-and-sales-stage-6-mois-debut-septembre-2026_paris</t>
        </is>
      </c>
      <c r="K21" s="2" t="inlineStr">
        <is>
          <t>https://garantme.fr/</t>
        </is>
      </c>
      <c r="L21" s="2" t="inlineStr">
        <is>
          <t>Favicon / company logo</t>
        </is>
      </c>
      <c r="M21" s="5" t="n">
        <v>46255</v>
      </c>
      <c r="N21" s="2" t="inlineStr">
        <is>
          <t>French: French likely for sales; English useful | English: Required / useful / role-dependent | Student friendly: Yes | Embedded logo asset. Re-check the live job page before applying; vacancies can close or change.</t>
        </is>
      </c>
    </row>
    <row r="22" ht="28.8" customHeight="1">
      <c r="A22">
        <f>_xlfn.IMAGE("https://www.google.com/s2/favicons?domain=tabobine.com&amp;sz=128","TABOBINE favicon")</f>
        <v/>
      </c>
      <c r="B22" s="2" t="inlineStr">
        <is>
          <t>TABOBINE</t>
        </is>
      </c>
      <c r="C22" s="2" t="inlineStr">
        <is>
          <t>Internship</t>
        </is>
      </c>
      <c r="D22" s="2" t="inlineStr">
        <is>
          <t>Paris 1e</t>
        </is>
      </c>
      <c r="E22" s="2" t="inlineStr">
        <is>
          <t>Not specified</t>
        </is>
      </c>
      <c r="F22" s="2" t="inlineStr">
        <is>
          <t>Innovation / Hardware</t>
        </is>
      </c>
      <c r="G22" s="2" t="inlineStr">
        <is>
          <t>Innovation Engineer Intern</t>
        </is>
      </c>
      <c r="H22" s="2" t="inlineStr">
        <is>
          <t>La Fête, 3 Place de Clichy, 75008 Paris, France</t>
        </is>
      </c>
      <c r="I22" s="2" t="inlineStr">
        <is>
          <t>🟢 Current hiring signal found</t>
        </is>
      </c>
      <c r="J22" s="2" t="inlineStr">
        <is>
          <t>https://www.welcometothejungle.com/fr/companies/tabobine/jobs/stage-ingenieur-e-innovation_paris_TABOB_Rlr7lgy</t>
        </is>
      </c>
      <c r="K22" s="2" t="inlineStr">
        <is>
          <t>https://tabobine.com/</t>
        </is>
      </c>
      <c r="L22" s="2" t="inlineStr">
        <is>
          <t>Favicon / company logo</t>
        </is>
      </c>
      <c r="M22" s="5" t="n">
        <v>46255</v>
      </c>
      <c r="N22" s="2" t="inlineStr">
        <is>
          <t>French: Role-dependent | English: Not specified | Student friendly: Yes | Embedded logo asset. Re-check the live job page before applying; vacancies can close or change.</t>
        </is>
      </c>
    </row>
    <row r="23" ht="43.2" customHeight="1">
      <c r="A23">
        <f>_xlfn.IMAGE("https://www.google.com/s2/favicons?domain=proton.me&amp;sz=128","Proton favicon")</f>
        <v/>
      </c>
      <c r="B23" s="2" t="inlineStr">
        <is>
          <t>Proton</t>
        </is>
      </c>
      <c r="C23" s="2" t="inlineStr">
        <is>
          <t>Internship</t>
        </is>
      </c>
      <c r="D23" s="2" t="inlineStr">
        <is>
          <t>Paris</t>
        </is>
      </c>
      <c r="E23" s="2" t="inlineStr">
        <is>
          <t>Not specified</t>
        </is>
      </c>
      <c r="F23" s="2" t="inlineStr">
        <is>
          <t>Cybersecurity / Privacy</t>
        </is>
      </c>
      <c r="G23" s="2" t="inlineStr">
        <is>
          <t>iOS Software Engineer Intern</t>
        </is>
      </c>
      <c r="H23" s="2" t="inlineStr">
        <is>
          <t>1 Parv. de la Défense, 92800 Puteaux, France</t>
        </is>
      </c>
      <c r="I23" s="2" t="inlineStr">
        <is>
          <t>🟢 Current hiring signal found</t>
        </is>
      </c>
      <c r="J23" s="2" t="inlineStr">
        <is>
          <t>https://app.welcometothejungle.com/jobs/ZOukbc16</t>
        </is>
      </c>
      <c r="K23" s="2" t="inlineStr">
        <is>
          <t>https://proton.me/careers</t>
        </is>
      </c>
      <c r="L23" s="2" t="inlineStr">
        <is>
          <t>Favicon / company logo</t>
        </is>
      </c>
      <c r="M23" s="5" t="n">
        <v>46255</v>
      </c>
      <c r="N23" s="2" t="inlineStr">
        <is>
          <t>French: English-friendly / role-dependent | English: Required / useful / role-dependent | Student friendly: Yes | Embedded logo asset. Re-check the live job page before applying; vacancies can close or change.</t>
        </is>
      </c>
    </row>
    <row r="24" ht="43.2" customHeight="1">
      <c r="A24" s="2" t="e">
        <v>#VALUE!</v>
      </c>
      <c r="B24" s="2" t="inlineStr">
        <is>
          <t>OneFlash</t>
        </is>
      </c>
      <c r="C24" s="2" t="inlineStr">
        <is>
          <t>Internship</t>
        </is>
      </c>
      <c r="D24" s="2" t="inlineStr">
        <is>
          <t>Aulnay-sous-Bois / Greater Paris</t>
        </is>
      </c>
      <c r="E24" s="2" t="inlineStr">
        <is>
          <t>Not specified</t>
        </is>
      </c>
      <c r="F24" s="2" t="inlineStr">
        <is>
          <t>Mobility / SaaS</t>
        </is>
      </c>
      <c r="G24" s="2" t="inlineStr">
        <is>
          <t>International Development / Finance &amp; Operations</t>
        </is>
      </c>
      <c r="H24" s="2" t="inlineStr">
        <is>
          <t>7 Place de l'Hôtel de Ville, 93600 Aulnay-sous-Bois, France</t>
        </is>
      </c>
      <c r="I24" s="2" t="inlineStr">
        <is>
          <t>🟢 Current hiring signal found</t>
        </is>
      </c>
      <c r="J24" s="2" t="inlineStr">
        <is>
          <t>https://www.welcometothejungle.com/en/companies/oneflash/jobs/stage-international-development_paris</t>
        </is>
      </c>
      <c r="K24" s="2" t="inlineStr">
        <is>
          <t>https://oneflash.co/</t>
        </is>
      </c>
      <c r="L24" s="2" t="inlineStr">
        <is>
          <t>Favicon / company logo</t>
        </is>
      </c>
      <c r="M24" s="5" t="n">
        <v>46255</v>
      </c>
      <c r="N24" s="2" t="inlineStr">
        <is>
          <t>French: English/French role-dependent | English: Required / useful / role-dependent | Student friendly: Yes | Embedded logo asset. Re-check the live job page before applying; vacancies can close or change.</t>
        </is>
      </c>
    </row>
    <row r="25" ht="43.2" customHeight="1">
      <c r="A25">
        <f>_xlfn.IMAGE("https://www.google.com/s2/favicons?domain=joko.com&amp;sz=128","Joko favicon")</f>
        <v/>
      </c>
      <c r="B25" s="2" t="inlineStr">
        <is>
          <t>Joko</t>
        </is>
      </c>
      <c r="C25" s="2" t="inlineStr">
        <is>
          <t>Internship</t>
        </is>
      </c>
      <c r="D25" s="2" t="inlineStr">
        <is>
          <t>Paris</t>
        </is>
      </c>
      <c r="E25" s="2" t="inlineStr">
        <is>
          <t>Not specified</t>
        </is>
      </c>
      <c r="F25" s="2" t="inlineStr">
        <is>
          <t>Fintech / Consumer</t>
        </is>
      </c>
      <c r="G25" s="2" t="inlineStr">
        <is>
          <t>Business Associate Intern – Card-Linked</t>
        </is>
      </c>
      <c r="H25" s="2" t="inlineStr">
        <is>
          <t>3 impasse de la Planchette, 75003 Paris, France</t>
        </is>
      </c>
      <c r="I25" s="2" t="inlineStr">
        <is>
          <t>🟢 Current hiring signal found</t>
        </is>
      </c>
      <c r="J25" s="2" t="inlineStr">
        <is>
          <t>https://jobs.ashbyhq.com/joko/6e4e15ea-7d8e-4a02-b175-f536c14c3974</t>
        </is>
      </c>
      <c r="K25" s="2" t="inlineStr">
        <is>
          <t>https://joko.com/</t>
        </is>
      </c>
      <c r="L25" s="2" t="inlineStr">
        <is>
          <t>Favicon / company logo</t>
        </is>
      </c>
      <c r="M25" s="5" t="n">
        <v>46255</v>
      </c>
      <c r="N25" s="2" t="inlineStr">
        <is>
          <t>French: French + English bilingual required | English: Required / useful / role-dependent | Student friendly: Yes | Embedded brand mark. Re-check the live job page before applying; vacancies can close or change.</t>
        </is>
      </c>
    </row>
    <row r="26" ht="43.2" customHeight="1">
      <c r="A26">
        <f>_xlfn.IMAGE("https://www.google.com/s2/favicons?domain=singulier.co&amp;sz=128","Singulier favicon")</f>
        <v/>
      </c>
      <c r="B26" s="2" t="inlineStr">
        <is>
          <t>Singulier</t>
        </is>
      </c>
      <c r="C26" s="2" t="inlineStr">
        <is>
          <t>Internship</t>
        </is>
      </c>
      <c r="D26" s="2" t="inlineStr">
        <is>
          <t>Paris</t>
        </is>
      </c>
      <c r="E26" s="2" t="inlineStr">
        <is>
          <t>Not specified</t>
        </is>
      </c>
      <c r="F26" s="2" t="inlineStr">
        <is>
          <t>Consulting / Data / AI</t>
        </is>
      </c>
      <c r="G26" s="2" t="inlineStr">
        <is>
          <t>Data Analytics Intern</t>
        </is>
      </c>
      <c r="H26" s="2" t="inlineStr">
        <is>
          <t>20 rue Nicolo, 75016 Paris, France</t>
        </is>
      </c>
      <c r="I26" s="2" t="inlineStr">
        <is>
          <t>🟢 Current hiring signal found</t>
        </is>
      </c>
      <c r="J26" s="2" t="inlineStr">
        <is>
          <t>https://apply.workable.com/singulier/j/40E90AAB17</t>
        </is>
      </c>
      <c r="K26" s="2" t="inlineStr">
        <is>
          <t>https://singulier.co/</t>
        </is>
      </c>
      <c r="L26" s="2" t="inlineStr">
        <is>
          <t>Favicon / company logo</t>
        </is>
      </c>
      <c r="M26" s="5" t="n">
        <v>46255</v>
      </c>
      <c r="N26" s="2" t="inlineStr">
        <is>
          <t>French: English fluent; French strongly preferred | English: Required / useful / role-dependent | Student friendly: Yes | Embedded brand mark. Re-check the live job page before applying; vacancies can close or change.</t>
        </is>
      </c>
    </row>
    <row r="27" ht="43.2" customHeight="1">
      <c r="A27">
        <f>_xlfn.IMAGE("https://www.google.com/s2/favicons?domain=front.com&amp;sz=128","Front favicon")</f>
        <v/>
      </c>
      <c r="B27" s="2" t="inlineStr">
        <is>
          <t>Front</t>
        </is>
      </c>
      <c r="C27" s="2" t="inlineStr">
        <is>
          <t>Internship</t>
        </is>
      </c>
      <c r="D27" s="2" t="inlineStr">
        <is>
          <t>Paris</t>
        </is>
      </c>
      <c r="E27" s="2" t="inlineStr">
        <is>
          <t>Not specified</t>
        </is>
      </c>
      <c r="F27" s="2" t="inlineStr">
        <is>
          <t>SaaS / Customer Communication</t>
        </is>
      </c>
      <c r="G27" s="2" t="inlineStr">
        <is>
          <t>Software Engineering Intern</t>
        </is>
      </c>
      <c r="H27" s="2" t="inlineStr">
        <is>
          <t>35 Rue Greneta, 75002 Paris, France (6th floor)</t>
        </is>
      </c>
      <c r="I27" s="2" t="inlineStr">
        <is>
          <t>🟢 Current hiring signal found</t>
        </is>
      </c>
      <c r="J27" s="2" t="inlineStr">
        <is>
          <t>https://jobs.ashbyhq.com/frontcareers/1026a32c-f8cc-4eee-992b-bacdf771d9fc</t>
        </is>
      </c>
      <c r="K27" s="2" t="inlineStr">
        <is>
          <t>https://front.com/careers</t>
        </is>
      </c>
      <c r="L27" s="2" t="inlineStr">
        <is>
          <t>Favicon / company logo</t>
        </is>
      </c>
      <c r="M27" s="5" t="n">
        <v>46255</v>
      </c>
      <c r="N27" s="2" t="inlineStr">
        <is>
          <t>French: Full English proficiency; English-speaking company | English: Required / useful / role-dependent | Student friendly: Yes | Embedded brand mark. Re-check the live job page before applying; vacancies can close or change.</t>
        </is>
      </c>
    </row>
    <row r="28" ht="43.2" customHeight="1">
      <c r="A28" t="e">
        <v>#VALUE!</v>
      </c>
      <c r="B28" s="2" t="inlineStr">
        <is>
          <t>Corma</t>
        </is>
      </c>
      <c r="C28" s="2" t="inlineStr">
        <is>
          <t>Internship</t>
        </is>
      </c>
      <c r="D28" s="2" t="inlineStr">
        <is>
          <t>Paris</t>
        </is>
      </c>
      <c r="E28" s="2" t="inlineStr">
        <is>
          <t>Not specified</t>
        </is>
      </c>
      <c r="F28" s="2" t="inlineStr">
        <is>
          <t>AI / SaaS</t>
        </is>
      </c>
      <c r="G28" s="2" t="inlineStr">
        <is>
          <t>Founders Associate Intern</t>
        </is>
      </c>
      <c r="H28" s="2" t="inlineStr">
        <is>
          <t>Station F: 5 Parvis Alan Turing, 75013 Paris</t>
        </is>
      </c>
      <c r="I28" s="2" t="inlineStr">
        <is>
          <t>🟢 Current hiring signal found</t>
        </is>
      </c>
      <c r="J28" s="2" t="inlineStr">
        <is>
          <t>https://jobs.stationf.co/companies/corma/jobs/founders-associate-internship-right-hand-to-the-ceo-january-2027_paris</t>
        </is>
      </c>
      <c r="K28" s="2" t="inlineStr">
        <is>
          <t>https://stationf.co/</t>
        </is>
      </c>
      <c r="L28" s="2" t="inlineStr">
        <is>
          <t>Favicon / company logo</t>
        </is>
      </c>
      <c r="M28" s="5" t="n">
        <v>46255</v>
      </c>
      <c r="N28" s="2" t="inlineStr">
        <is>
          <t>French: Professional French + English required | English: Required / useful / role-dependent | Student friendly: Yes | Embedded brand mark. Re-check the live job page before applying; vacancies can close or change.</t>
        </is>
      </c>
    </row>
    <row r="29" ht="43.2" customHeight="1">
      <c r="A29" t="e">
        <v>#VALUE!</v>
      </c>
      <c r="B29" s="2" t="inlineStr">
        <is>
          <t>MatR</t>
        </is>
      </c>
      <c r="C29" s="2" t="inlineStr">
        <is>
          <t>Internship</t>
        </is>
      </c>
      <c r="D29" s="2" t="inlineStr">
        <is>
          <t>Paris / Station F</t>
        </is>
      </c>
      <c r="E29" s="2" t="inlineStr">
        <is>
          <t>Not specified</t>
        </is>
      </c>
      <c r="F29" s="2" t="inlineStr">
        <is>
          <t>Data / SaaS</t>
        </is>
      </c>
      <c r="G29" s="2" t="inlineStr">
        <is>
          <t>Sales Development Representative Intern</t>
        </is>
      </c>
      <c r="H29" s="2" t="inlineStr">
        <is>
          <t>Station F, 5 Parvis Alan Turing, 75013 Paris, France</t>
        </is>
      </c>
      <c r="I29" s="2" t="inlineStr">
        <is>
          <t>🟢 Current hiring signal found</t>
        </is>
      </c>
      <c r="J29" s="2" t="inlineStr">
        <is>
          <t>https://jobs.stationf.co/companies/matr/jobs/sales-development-representative-internship-m-f-x-matr_paris</t>
        </is>
      </c>
      <c r="K29" s="2" t="inlineStr">
        <is>
          <t>https://stationf.co/</t>
        </is>
      </c>
      <c r="L29" s="2" t="inlineStr">
        <is>
          <t>Favicon / company logo</t>
        </is>
      </c>
      <c r="M29" s="5" t="n">
        <v>46255</v>
      </c>
      <c r="N29" s="2" t="inlineStr">
        <is>
          <t>French: French + English required for outreach | English: Required / useful / role-dependent | Student friendly: Yes | Embedded brand mark. Re-check the live job page before applying; vacancies can close or change.</t>
        </is>
      </c>
    </row>
    <row r="30" ht="43.2" customHeight="1">
      <c r="A30">
        <f>_xlfn.IMAGE("https://www.google.com/s2/favicons?domain=tiktok.com&amp;sz=128","TikTok favicon")</f>
        <v/>
      </c>
      <c r="B30" s="2" t="inlineStr">
        <is>
          <t>TikTok</t>
        </is>
      </c>
      <c r="C30" s="2" t="inlineStr">
        <is>
          <t>Internship</t>
        </is>
      </c>
      <c r="D30" s="2" t="inlineStr">
        <is>
          <t>Paris</t>
        </is>
      </c>
      <c r="E30" s="2" t="inlineStr">
        <is>
          <t>Not specified</t>
        </is>
      </c>
      <c r="F30" s="2" t="inlineStr">
        <is>
          <t>Social / E-commerce</t>
        </is>
      </c>
      <c r="G30" s="2" t="inlineStr">
        <is>
          <t>Account Manager Project Intern – TikTok Shop France</t>
        </is>
      </c>
      <c r="H30" s="2" t="inlineStr">
        <is>
          <t>21 Rue d'Uzès, 75002 Paris, France</t>
        </is>
      </c>
      <c r="I30" s="2" t="inlineStr">
        <is>
          <t>🟢 Current hiring signal found</t>
        </is>
      </c>
      <c r="J30" s="2" t="inlineStr">
        <is>
          <t>https://lifeattiktok.com/search?keyword=TikTok%20Shop%20France</t>
        </is>
      </c>
      <c r="K30" s="2" t="inlineStr">
        <is>
          <t>https://www.tiktok.com/careers</t>
        </is>
      </c>
      <c r="L30" s="2" t="inlineStr">
        <is>
          <t>Favicon / company logo</t>
        </is>
      </c>
      <c r="M30" s="5" t="n">
        <v>46255</v>
      </c>
      <c r="N30" s="2" t="inlineStr">
        <is>
          <t>French: English required; Chinese required for selected role | English: Required / useful / role-dependent | Student friendly: Yes | Embedded brand mark. Re-check the live job page before applying; vacancies can close or change.</t>
        </is>
      </c>
    </row>
  </sheetData>
  <autoFilter ref="A1:N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tabSelected="1" workbookViewId="0">
      <pane ySplit="1" topLeftCell="A15" activePane="bottomLeft" state="frozen"/>
      <selection pane="bottomLeft" activeCell="B22" sqref="B22"/>
    </sheetView>
  </sheetViews>
  <sheetFormatPr baseColWidth="8" defaultRowHeight="14.4"/>
  <cols>
    <col width="18" customWidth="1" min="1" max="1"/>
    <col width="22" customWidth="1" min="2" max="2"/>
    <col width="24" customWidth="1" min="3" max="4"/>
    <col width="20" customWidth="1" min="5" max="5"/>
    <col width="28" customWidth="1" min="6" max="6"/>
    <col width="42" customWidth="1" min="7" max="7"/>
    <col width="48" customWidth="1" min="8" max="8"/>
    <col width="30" customWidth="1" min="9" max="9"/>
    <col width="55" customWidth="1" min="10" max="10"/>
    <col width="42" customWidth="1" min="11" max="11"/>
    <col width="24" customWidth="1" min="12" max="12"/>
    <col width="16" customWidth="1" min="13" max="13"/>
    <col width="75" customWidth="1" min="14" max="14"/>
  </cols>
  <sheetData>
    <row r="1" ht="31.95" customHeight="1">
      <c r="A1" s="4" t="inlineStr">
        <is>
          <t>Logo</t>
        </is>
      </c>
      <c r="B1" s="4" t="inlineStr">
        <is>
          <t>Company</t>
        </is>
      </c>
      <c r="C1" s="4" t="inlineStr">
        <is>
          <t>Type</t>
        </is>
      </c>
      <c r="D1" s="4" t="inlineStr">
        <is>
          <t>Area</t>
        </is>
      </c>
      <c r="E1" s="4" t="inlineStr">
        <is>
          <t>Stage</t>
        </is>
      </c>
      <c r="F1" s="4" t="inlineStr">
        <is>
          <t>Sector</t>
        </is>
      </c>
      <c r="G1" s="4" t="inlineStr">
        <is>
          <t>Internship Roles</t>
        </is>
      </c>
      <c r="H1" s="4" t="inlineStr">
        <is>
          <t>Location</t>
        </is>
      </c>
      <c r="I1" s="4" t="inlineStr">
        <is>
          <t>Hiring Status</t>
        </is>
      </c>
      <c r="J1" s="4" t="inlineStr">
        <is>
          <t>Application Link</t>
        </is>
      </c>
      <c r="K1" s="4" t="inlineStr">
        <is>
          <t>Company Website</t>
        </is>
      </c>
      <c r="L1" s="4" t="inlineStr">
        <is>
          <t>Logo Type</t>
        </is>
      </c>
      <c r="M1" s="4" t="inlineStr">
        <is>
          <t>Research Date</t>
        </is>
      </c>
      <c r="N1" s="4" t="inlineStr">
        <is>
          <t>Notes</t>
        </is>
      </c>
    </row>
    <row r="2" ht="43.2" customHeight="1">
      <c r="A2">
        <f>_xlfn.IMAGE("https://www.google.com/s2/favicons?domain=mistral.ai&amp;sz=128","Mistral AI favicon")</f>
        <v/>
      </c>
      <c r="B2" s="2" t="inlineStr">
        <is>
          <t>Mistral AI</t>
        </is>
      </c>
      <c r="C2" s="2" t="inlineStr">
        <is>
          <t>Full-time</t>
        </is>
      </c>
      <c r="D2" s="2" t="inlineStr">
        <is>
          <t>Paris</t>
        </is>
      </c>
      <c r="E2" s="2" t="inlineStr">
        <is>
          <t>Not specified</t>
        </is>
      </c>
      <c r="F2" s="2" t="inlineStr">
        <is>
          <t>AI / SaaS</t>
        </is>
      </c>
      <c r="G2" s="2" t="inlineStr">
        <is>
          <t>AI Engineer, Product</t>
        </is>
      </c>
      <c r="H2" s="2" t="inlineStr">
        <is>
          <t>15 Rue des Renaudes, 75017 Paris, France</t>
        </is>
      </c>
      <c r="I2" s="2" t="inlineStr">
        <is>
          <t>🟢 Current hiring signal found</t>
        </is>
      </c>
      <c r="J2" s="2" t="inlineStr">
        <is>
          <t>https://jobs.ashbyhq.com/mistral.ai/50c74749-9fbc-471f-a647-f6cd22423ccf</t>
        </is>
      </c>
      <c r="K2" s="2" t="inlineStr">
        <is>
          <t>https://mistral.ai/careers/</t>
        </is>
      </c>
      <c r="L2" s="2" t="inlineStr">
        <is>
          <t>Favicon / company logo</t>
        </is>
      </c>
      <c r="M2" s="5" t="n">
        <v>46255</v>
      </c>
      <c r="N2" s="2" t="inlineStr">
        <is>
          <t>French: English-first / role-dependent | English: Required / useful / role-dependent | Student friendly: Yes | Embedded brand mark. Re-check the live job page before applying; vacancies can close or change.</t>
        </is>
      </c>
    </row>
    <row r="3" ht="43.2" customHeight="1">
      <c r="A3" t="e">
        <v>#VALUE!</v>
      </c>
      <c r="B3" s="2" t="inlineStr">
        <is>
          <t>Alan</t>
        </is>
      </c>
      <c r="C3" s="2" t="inlineStr">
        <is>
          <t>Full-time</t>
        </is>
      </c>
      <c r="D3" s="2" t="inlineStr">
        <is>
          <t>Paris</t>
        </is>
      </c>
      <c r="E3" s="2" t="inlineStr">
        <is>
          <t>Not specified</t>
        </is>
      </c>
      <c r="F3" s="2" t="inlineStr">
        <is>
          <t>Healthtech / Insurtech</t>
        </is>
      </c>
      <c r="G3" s="2" t="inlineStr">
        <is>
          <t>Marketing Operations</t>
        </is>
      </c>
      <c r="H3" s="2" t="inlineStr">
        <is>
          <t>117 Quai de Valmy, 75010 Paris, France</t>
        </is>
      </c>
      <c r="I3" s="2" t="inlineStr">
        <is>
          <t>🟢 Current hiring signal found</t>
        </is>
      </c>
      <c r="J3" s="2" t="inlineStr">
        <is>
          <t>https://jobs.ashbyhq.com/alan/c1910999-3e09-4d2e-8bac-e8a31eccd438</t>
        </is>
      </c>
      <c r="K3" s="2" t="inlineStr">
        <is>
          <t>https://alan.com/careers</t>
        </is>
      </c>
      <c r="L3" s="2" t="inlineStr">
        <is>
          <t>Favicon / company logo</t>
        </is>
      </c>
      <c r="M3" s="5" t="n">
        <v>46255</v>
      </c>
      <c r="N3" s="2" t="inlineStr">
        <is>
          <t>French: English required; French role-dependent | English: Required / useful / role-dependent | Student friendly: No | Embedded logo asset. Re-check the live job page before applying; vacancies can close or change.</t>
        </is>
      </c>
    </row>
    <row r="4" ht="28.8" customHeight="1">
      <c r="A4" t="e">
        <v>#VALUE!</v>
      </c>
      <c r="B4" s="2" t="inlineStr">
        <is>
          <t>Back Market</t>
        </is>
      </c>
      <c r="C4" s="2" t="inlineStr">
        <is>
          <t>Full-time</t>
        </is>
      </c>
      <c r="D4" s="2" t="inlineStr">
        <is>
          <t>Paris</t>
        </is>
      </c>
      <c r="E4" s="2" t="inlineStr">
        <is>
          <t>Not specified</t>
        </is>
      </c>
      <c r="F4" s="2" t="inlineStr">
        <is>
          <t>E-commerce / Circular Tech</t>
        </is>
      </c>
      <c r="G4" s="2" t="inlineStr">
        <is>
          <t>Global Talent Scout</t>
        </is>
      </c>
      <c r="H4" s="2" t="inlineStr">
        <is>
          <t>199 Rue Championnet, 75018 Paris, France</t>
        </is>
      </c>
      <c r="I4" s="2" t="inlineStr">
        <is>
          <t>🟢 Current hiring signal found</t>
        </is>
      </c>
      <c r="J4" s="2" t="inlineStr">
        <is>
          <t>https://jobs.ashbyhq.com/backmarket/0d996099-3de0-418a-87ff-cc0f4e32407e</t>
        </is>
      </c>
      <c r="K4" s="2" t="inlineStr">
        <is>
          <t>https://jobs.ashbyhq.com/backmarket</t>
        </is>
      </c>
      <c r="L4" s="2" t="inlineStr">
        <is>
          <t>Favicon / company logo</t>
        </is>
      </c>
      <c r="M4" s="5" t="n">
        <v>46255</v>
      </c>
      <c r="N4" s="2" t="inlineStr">
        <is>
          <t>French: Role-dependent | English: Not specified | Student friendly: No | Embedded brand mark. Re-check the live job page before applying; vacancies can close or change.</t>
        </is>
      </c>
    </row>
    <row r="5" ht="43.2" customHeight="1">
      <c r="A5" t="e">
        <v>#VALUE!</v>
      </c>
      <c r="B5" s="2" t="inlineStr">
        <is>
          <t>Upflow</t>
        </is>
      </c>
      <c r="C5" s="2" t="inlineStr">
        <is>
          <t>Full-time</t>
        </is>
      </c>
      <c r="D5" s="2" t="inlineStr">
        <is>
          <t>Paris</t>
        </is>
      </c>
      <c r="E5" s="2" t="inlineStr">
        <is>
          <t>Not specified</t>
        </is>
      </c>
      <c r="F5" s="2" t="inlineStr">
        <is>
          <t>Fintech / SaaS</t>
        </is>
      </c>
      <c r="G5" s="2" t="inlineStr">
        <is>
          <t>Account Executive – EMEA, English Speaking</t>
        </is>
      </c>
      <c r="H5" s="2" t="inlineStr">
        <is>
          <t>64-66 Rue des Archives, 75003 Paris, France</t>
        </is>
      </c>
      <c r="I5" s="2" t="inlineStr">
        <is>
          <t>🟢 Current hiring signal found</t>
        </is>
      </c>
      <c r="J5" s="2" t="inlineStr">
        <is>
          <t>https://jobs.ashbyhq.com/upflow/d25957b8-1838-4d2f-b567-9d569289fb68</t>
        </is>
      </c>
      <c r="K5" s="2" t="inlineStr">
        <is>
          <t>https://upflow.io/careers</t>
        </is>
      </c>
      <c r="L5" s="2" t="inlineStr">
        <is>
          <t>Favicon / company logo</t>
        </is>
      </c>
      <c r="M5" s="5" t="n">
        <v>46255</v>
      </c>
      <c r="N5" s="2" t="inlineStr">
        <is>
          <t>French: English required; French not required for selected role | English: Required / useful / role-dependent | Student friendly: No | Embedded brand mark. Re-check the live job page before applying; vacancies can close or change.</t>
        </is>
      </c>
    </row>
    <row r="6" ht="43.2" customHeight="1">
      <c r="A6">
        <f>_xlfn.IMAGE("https://www.google.com/s2/favicons?domain=inato.com&amp;sz=128","Inato favicon")</f>
        <v/>
      </c>
      <c r="B6" s="2" t="inlineStr">
        <is>
          <t>Inato</t>
        </is>
      </c>
      <c r="C6" s="2" t="inlineStr">
        <is>
          <t>Full-time</t>
        </is>
      </c>
      <c r="D6" s="2" t="inlineStr">
        <is>
          <t>Paris / Remote France</t>
        </is>
      </c>
      <c r="E6" s="2" t="inlineStr">
        <is>
          <t>Not specified</t>
        </is>
      </c>
      <c r="F6" s="2" t="inlineStr">
        <is>
          <t>Healthtech / Clinical Research</t>
        </is>
      </c>
      <c r="G6" s="2" t="inlineStr">
        <is>
          <t>Senior Analytics Engineer, Product</t>
        </is>
      </c>
      <c r="H6" s="2" t="inlineStr">
        <is>
          <t>14 Bd Montmartre, 75009 Paris, France</t>
        </is>
      </c>
      <c r="I6" s="2" t="inlineStr">
        <is>
          <t>🟢 Current hiring signal found</t>
        </is>
      </c>
      <c r="J6" s="2" t="inlineStr">
        <is>
          <t>https://jobs.ashbyhq.com/inato/26983f36-ea51-4c6c-9779-6384171427bf</t>
        </is>
      </c>
      <c r="K6" s="2" t="inlineStr">
        <is>
          <t>https://inato.com/careers</t>
        </is>
      </c>
      <c r="L6" s="2" t="inlineStr">
        <is>
          <t>Favicon / company logo</t>
        </is>
      </c>
      <c r="M6" s="5" t="n">
        <v>46255</v>
      </c>
      <c r="N6" s="2" t="inlineStr">
        <is>
          <t>French: English / role-dependent | English: Required / useful / role-dependent | Student friendly: No | Embedded brand mark. Re-check the live job page before applying; vacancies can close or change.</t>
        </is>
      </c>
    </row>
    <row r="7" ht="43.2" customHeight="1">
      <c r="A7">
        <f>_xlfn.IMAGE("https://www.google.com/s2/favicons?domain=dust.tt&amp;sz=128","Dust favicon")</f>
        <v/>
      </c>
      <c r="B7" s="2" t="inlineStr">
        <is>
          <t>Dust</t>
        </is>
      </c>
      <c r="C7" s="2" t="inlineStr">
        <is>
          <t>Full-time</t>
        </is>
      </c>
      <c r="D7" s="2" t="inlineStr">
        <is>
          <t>Paris</t>
        </is>
      </c>
      <c r="E7" s="2" t="inlineStr">
        <is>
          <t>Not specified</t>
        </is>
      </c>
      <c r="F7" s="2" t="inlineStr">
        <is>
          <t>AI / SaaS</t>
        </is>
      </c>
      <c r="G7" s="2" t="inlineStr">
        <is>
          <t>Senior AI Support Engineer</t>
        </is>
      </c>
      <c r="H7" s="2" t="inlineStr">
        <is>
          <t>86 Avenue de Wagram, 75017 Paris, France</t>
        </is>
      </c>
      <c r="I7" s="2" t="inlineStr">
        <is>
          <t>🟢 Current hiring signal found</t>
        </is>
      </c>
      <c r="J7" s="2" t="inlineStr">
        <is>
          <t>https://jobs.ashbyhq.com/dust/31640a53-7c85-416b-9c95-610445a55e81</t>
        </is>
      </c>
      <c r="K7" s="2" t="inlineStr">
        <is>
          <t>https://dust.tt/careers</t>
        </is>
      </c>
      <c r="L7" s="2" t="inlineStr">
        <is>
          <t>Favicon / company logo</t>
        </is>
      </c>
      <c r="M7" s="5" t="n">
        <v>46255</v>
      </c>
      <c r="N7" s="2" t="inlineStr">
        <is>
          <t>French: English-first / role-dependent | English: Required / useful / role-dependent | Student friendly: No | Embedded brand mark. Re-check the live job page before applying; vacancies can close or change.</t>
        </is>
      </c>
    </row>
    <row r="8" ht="43.2" customHeight="1">
      <c r="A8">
        <f>_xlfn.IMAGE("https://www.google.com/s2/favicons?domain=amo.co&amp;sz=128","amo / Bump favicon")</f>
        <v/>
      </c>
      <c r="B8" s="2" t="inlineStr">
        <is>
          <t>amo / Bump</t>
        </is>
      </c>
      <c r="C8" s="2" t="inlineStr">
        <is>
          <t>Full-time</t>
        </is>
      </c>
      <c r="D8" s="2" t="inlineStr">
        <is>
          <t>Paris</t>
        </is>
      </c>
      <c r="E8" s="2" t="inlineStr">
        <is>
          <t>Not specified</t>
        </is>
      </c>
      <c r="F8" s="2" t="inlineStr">
        <is>
          <t>Consumer Tech / Social</t>
        </is>
      </c>
      <c r="G8" s="2" t="inlineStr">
        <is>
          <t>India Content Specialist</t>
        </is>
      </c>
      <c r="H8" s="2" t="inlineStr">
        <is>
          <t>29 Boulevard desItaliens, 75002 Paris</t>
        </is>
      </c>
      <c r="I8" s="2" t="inlineStr">
        <is>
          <t>🟢 Current hiring signal found</t>
        </is>
      </c>
      <c r="J8" s="2" t="inlineStr">
        <is>
          <t>https://jobs.ashbyhq.com/amo/fe22e91f-f148-4502-97ef-9f26438625b3</t>
        </is>
      </c>
      <c r="K8" s="2" t="inlineStr">
        <is>
          <t>https://www.amo.co/careers</t>
        </is>
      </c>
      <c r="L8" s="2" t="inlineStr">
        <is>
          <t>Favicon / company logo</t>
        </is>
      </c>
      <c r="M8" s="5" t="n">
        <v>46255</v>
      </c>
      <c r="N8" s="2" t="inlineStr">
        <is>
          <t>French: English + market language | English: Required / useful / role-dependent | Student friendly: No | Embedded brand mark. Re-check the live job page before applying; vacancies can close or change.</t>
        </is>
      </c>
    </row>
    <row r="9" ht="43.2" customHeight="1">
      <c r="A9">
        <f>_xlfn.IMAGE("https://www.google.com/s2/favicons?domain=altaares.com&amp;sz=128","Alta Ares favicon")</f>
        <v/>
      </c>
      <c r="B9" s="2" t="inlineStr">
        <is>
          <t>Alta Ares</t>
        </is>
      </c>
      <c r="C9" s="2" t="inlineStr">
        <is>
          <t>Full-time</t>
        </is>
      </c>
      <c r="D9" s="2" t="inlineStr">
        <is>
          <t>Paris</t>
        </is>
      </c>
      <c r="E9" s="2" t="inlineStr">
        <is>
          <t>Not specified</t>
        </is>
      </c>
      <c r="F9" s="2" t="inlineStr">
        <is>
          <t>AI / Deeptech</t>
        </is>
      </c>
      <c r="G9" s="2" t="inlineStr">
        <is>
          <t>Talent Acquisition Specialist</t>
        </is>
      </c>
      <c r="H9" s="2" t="inlineStr">
        <is>
          <t>8 rue de Lévis, 75017 Paris, France</t>
        </is>
      </c>
      <c r="I9" s="2" t="inlineStr">
        <is>
          <t>🟢 Current hiring signal found</t>
        </is>
      </c>
      <c r="J9" s="2" t="inlineStr">
        <is>
          <t>https://jobs.ashbyhq.com/alta-ares/5f198806-3f6b-435d-8538-a0e158d17c29</t>
        </is>
      </c>
      <c r="K9" s="2" t="inlineStr">
        <is>
          <t>https://www.altaares.com/</t>
        </is>
      </c>
      <c r="L9" s="2" t="inlineStr">
        <is>
          <t>Favicon / company logo</t>
        </is>
      </c>
      <c r="M9" s="5" t="n">
        <v>46255</v>
      </c>
      <c r="N9" s="2" t="inlineStr">
        <is>
          <t>French: English / French role-dependent | English: Required / useful / role-dependent | Student friendly: No | Embedded brand mark. Re-check the live job page before applying; vacancies can close or change.</t>
        </is>
      </c>
    </row>
    <row r="10" ht="43.2" customHeight="1">
      <c r="A10">
        <f>_xlfn.IMAGE("https://www.google.com/s2/favicons?domain=pivotapp.ai&amp;sz=128","Pivot favicon")</f>
        <v/>
      </c>
      <c r="B10" s="2" t="inlineStr">
        <is>
          <t>Pivot</t>
        </is>
      </c>
      <c r="C10" s="2" t="inlineStr">
        <is>
          <t>Full-time</t>
        </is>
      </c>
      <c r="D10" s="2" t="inlineStr">
        <is>
          <t>Paris</t>
        </is>
      </c>
      <c r="E10" s="2" t="inlineStr">
        <is>
          <t>Not specified</t>
        </is>
      </c>
      <c r="F10" s="2" t="inlineStr">
        <is>
          <t>AI / Procurement SaaS</t>
        </is>
      </c>
      <c r="G10" s="2" t="inlineStr">
        <is>
          <t>Spontaneous application / upcoming roles</t>
        </is>
      </c>
      <c r="H10" s="2" t="inlineStr">
        <is>
          <t>144 Avenue Charles de Gaulle, 92200 Neuilly-sur-Seine</t>
        </is>
      </c>
      <c r="I10" s="2" t="inlineStr">
        <is>
          <t>🟢 Current hiring signal found</t>
        </is>
      </c>
      <c r="J10" s="2" t="inlineStr">
        <is>
          <t>https://jobs.ashbyhq.com/Pivot/fc07565f-d1ac-498e-b920-e9d3e22c1e2c/</t>
        </is>
      </c>
      <c r="K10" s="2" t="inlineStr">
        <is>
          <t>https://www.pivotapp.ai/careers</t>
        </is>
      </c>
      <c r="L10" s="2" t="inlineStr">
        <is>
          <t>Favicon / company logo</t>
        </is>
      </c>
      <c r="M10" s="5" t="n">
        <v>46255</v>
      </c>
      <c r="N10" s="2" t="inlineStr">
        <is>
          <t>French: English-first / role-dependent | English: Required / useful / role-dependent | Student friendly: No | Embedded brand mark. Re-check the live job page before applying; vacancies can close or change.</t>
        </is>
      </c>
    </row>
    <row r="11" ht="43.2" customHeight="1">
      <c r="A11">
        <f>_xlfn.IMAGE("https://www.google.com/s2/favicons?domain=qonto.com&amp;sz=128","Qonto favicon")</f>
        <v/>
      </c>
      <c r="B11" s="2" t="inlineStr">
        <is>
          <t>Qonto</t>
        </is>
      </c>
      <c r="C11" s="2" t="inlineStr">
        <is>
          <t>Full-time</t>
        </is>
      </c>
      <c r="D11" s="2" t="inlineStr">
        <is>
          <t>Paris</t>
        </is>
      </c>
      <c r="E11" s="2" t="inlineStr">
        <is>
          <t>Not specified</t>
        </is>
      </c>
      <c r="F11" s="2" t="inlineStr">
        <is>
          <t>Fintech</t>
        </is>
      </c>
      <c r="G11" s="2" t="inlineStr">
        <is>
          <t>Product / Sales / Operations roles</t>
        </is>
      </c>
      <c r="H11" s="2" t="inlineStr">
        <is>
          <t>18 Rue de Navarin, 75009 Paris, France</t>
        </is>
      </c>
      <c r="I11" s="2" t="inlineStr">
        <is>
          <t>🟢 Current hiring signal found</t>
        </is>
      </c>
      <c r="J11" s="2" t="inlineStr">
        <is>
          <t>https://jobs.lever.co/qonto</t>
        </is>
      </c>
      <c r="K11" s="2" t="inlineStr">
        <is>
          <t>https://qonto.com/en/careers</t>
        </is>
      </c>
      <c r="L11" s="2" t="inlineStr">
        <is>
          <t>Favicon / company logo</t>
        </is>
      </c>
      <c r="M11" s="5" t="n">
        <v>46255</v>
      </c>
      <c r="N11" s="2" t="inlineStr">
        <is>
          <t>French: Role-dependent; English used widely | English: Required / useful / role-dependent | Student friendly: No | Embedded brand mark. Re-check the live job page before applying; vacancies can close or change.</t>
        </is>
      </c>
    </row>
    <row r="12" ht="43.2" customHeight="1">
      <c r="A12">
        <f>_xlfn.IMAGE("https://www.google.com/s2/favicons?domain=jobs.blablacar.com&amp;sz=128","BlaBlaCar favicon")</f>
        <v/>
      </c>
      <c r="B12" s="2" t="inlineStr">
        <is>
          <t>BlaBlaCar</t>
        </is>
      </c>
      <c r="C12" s="2" t="inlineStr">
        <is>
          <t>Full-time</t>
        </is>
      </c>
      <c r="D12" s="2" t="inlineStr">
        <is>
          <t>Paris</t>
        </is>
      </c>
      <c r="E12" s="2" t="inlineStr">
        <is>
          <t>Not specified</t>
        </is>
      </c>
      <c r="F12" s="2" t="inlineStr">
        <is>
          <t>Mobility</t>
        </is>
      </c>
      <c r="G12" s="2" t="inlineStr">
        <is>
          <t>Marketing / Strategy / Product roles</t>
        </is>
      </c>
      <c r="H12" s="2" t="inlineStr">
        <is>
          <t>84 Avenue de la République, 75011 Paris, France</t>
        </is>
      </c>
      <c r="I12" s="2" t="inlineStr">
        <is>
          <t>🟢 Current hiring signal found</t>
        </is>
      </c>
      <c r="J12" s="2" t="inlineStr">
        <is>
          <t>https://jobs.lever.co/blablacar</t>
        </is>
      </c>
      <c r="K12" s="2" t="inlineStr">
        <is>
          <t>https://jobs.blablacar.com/</t>
        </is>
      </c>
      <c r="L12" s="2" t="inlineStr">
        <is>
          <t>Favicon / company logo</t>
        </is>
      </c>
      <c r="M12" s="5" t="n">
        <v>46255</v>
      </c>
      <c r="N12" s="2" t="inlineStr">
        <is>
          <t>French: French or English depending on team | English: Required / useful / role-dependent | Student friendly: No | Embedded brand mark. Re-check the live job page before applying; vacancies can close or change.</t>
        </is>
      </c>
    </row>
    <row r="13" ht="28.8" customHeight="1">
      <c r="A13">
        <f>_xlfn.IMAGE("https://www.google.com/s2/favicons?domain=malt.com&amp;sz=128","Malt favicon")</f>
        <v/>
      </c>
      <c r="B13" s="2" t="inlineStr">
        <is>
          <t>Malt</t>
        </is>
      </c>
      <c r="C13" s="2" t="inlineStr">
        <is>
          <t>Full-time</t>
        </is>
      </c>
      <c r="D13" s="2" t="inlineStr">
        <is>
          <t>Paris</t>
        </is>
      </c>
      <c r="E13" s="2" t="inlineStr">
        <is>
          <t>Not specified</t>
        </is>
      </c>
      <c r="F13" s="2" t="inlineStr">
        <is>
          <t>SaaS / Future of Work</t>
        </is>
      </c>
      <c r="G13" s="2" t="inlineStr">
        <is>
          <t>Account Management / Data / Security roles</t>
        </is>
      </c>
      <c r="H13" s="2" t="inlineStr">
        <is>
          <t>18 Rue Godot de Mauroy, 75009 Paris, France</t>
        </is>
      </c>
      <c r="I13" s="2" t="inlineStr">
        <is>
          <t>🟢 Current hiring signal found</t>
        </is>
      </c>
      <c r="J13" s="2" t="inlineStr">
        <is>
          <t>https://jobs.lever.co/malt</t>
        </is>
      </c>
      <c r="K13" s="2" t="inlineStr">
        <is>
          <t>https://www.malt.com/careers</t>
        </is>
      </c>
      <c r="L13" s="2" t="inlineStr">
        <is>
          <t>Favicon / company logo</t>
        </is>
      </c>
      <c r="M13" s="5" t="n">
        <v>46255</v>
      </c>
      <c r="N13" s="2" t="inlineStr">
        <is>
          <t>French: Role-dependent | English: Not specified | Student friendly: No | Embedded logo asset. Re-check the live job page before applying; vacancies can close or change.</t>
        </is>
      </c>
    </row>
    <row r="14" ht="43.2" customHeight="1">
      <c r="A14">
        <f>_xlfn.IMAGE("https://www.google.com/s2/favicons?domain=careers.doctolib.fr&amp;sz=128","Doctolib favicon")</f>
        <v/>
      </c>
      <c r="B14" s="2" t="inlineStr">
        <is>
          <t>Doctolib</t>
        </is>
      </c>
      <c r="C14" s="2" t="inlineStr">
        <is>
          <t>Full-time</t>
        </is>
      </c>
      <c r="D14" s="2" t="inlineStr">
        <is>
          <t>Levallois-Perret</t>
        </is>
      </c>
      <c r="E14" s="2" t="inlineStr">
        <is>
          <t>Not specified</t>
        </is>
      </c>
      <c r="F14" s="2" t="inlineStr">
        <is>
          <t>Healthtech</t>
        </is>
      </c>
      <c r="G14" s="2" t="inlineStr">
        <is>
          <t>Product / Finance / Tech roles</t>
        </is>
      </c>
      <c r="H14" s="2" t="inlineStr">
        <is>
          <t>54 Quai Charles Pasqua, 92300 Levallois-Perret, France</t>
        </is>
      </c>
      <c r="I14" s="2" t="inlineStr">
        <is>
          <t>🟢 Current hiring signal found</t>
        </is>
      </c>
      <c r="J14" s="2" t="inlineStr">
        <is>
          <t>https://careers.doctolib.fr/</t>
        </is>
      </c>
      <c r="K14" s="2" t="inlineStr">
        <is>
          <t>https://careers.doctolib.fr/</t>
        </is>
      </c>
      <c r="L14" s="2" t="inlineStr">
        <is>
          <t>Favicon / company logo</t>
        </is>
      </c>
      <c r="M14" s="5" t="n">
        <v>46255</v>
      </c>
      <c r="N14" s="2" t="inlineStr">
        <is>
          <t>French: French + English role-dependent | English: Required / useful / role-dependent | Student friendly: No | Embedded logo asset. Re-check the live job page before applying; vacancies can close or change.</t>
        </is>
      </c>
    </row>
    <row r="15" ht="43.2" customHeight="1">
      <c r="A15">
        <f>_xlfn.IMAGE("https://www.google.com/s2/favicons?domain=aircall.io&amp;sz=128","Aircall favicon")</f>
        <v/>
      </c>
      <c r="B15" s="2" t="inlineStr">
        <is>
          <t>Aircall</t>
        </is>
      </c>
      <c r="C15" s="2" t="inlineStr">
        <is>
          <t>Full-time</t>
        </is>
      </c>
      <c r="D15" s="2" t="inlineStr">
        <is>
          <t>Paris</t>
        </is>
      </c>
      <c r="E15" s="2" t="inlineStr">
        <is>
          <t>Not specified</t>
        </is>
      </c>
      <c r="F15" s="2" t="inlineStr">
        <is>
          <t>SaaS / Communications</t>
        </is>
      </c>
      <c r="G15" s="2" t="inlineStr">
        <is>
          <t>Sales / Engineering / Customer roles</t>
        </is>
      </c>
      <c r="H15" s="2" t="inlineStr">
        <is>
          <t>11 Rue Saint-Georges, 75009 Paris, France</t>
        </is>
      </c>
      <c r="I15" s="2" t="inlineStr">
        <is>
          <t>🟢 Current hiring signal found</t>
        </is>
      </c>
      <c r="J15" s="2" t="inlineStr">
        <is>
          <t>https://aircall.io/careers/</t>
        </is>
      </c>
      <c r="K15" s="2" t="inlineStr">
        <is>
          <t>https://aircall.io/careers/</t>
        </is>
      </c>
      <c r="L15" s="2" t="inlineStr">
        <is>
          <t>Favicon / company logo</t>
        </is>
      </c>
      <c r="M15" s="5" t="n">
        <v>46255</v>
      </c>
      <c r="N15" s="2" t="inlineStr">
        <is>
          <t>French: English; French for France-facing roles | English: Required / useful / role-dependent | Student friendly: No | Embedded logo asset. Re-check the live job page before applying; vacancies can close or change.</t>
        </is>
      </c>
    </row>
    <row r="16" ht="43.2" customHeight="1">
      <c r="A16">
        <f>_xlfn.IMAGE("https://www.google.com/s2/favicons?domain=pigment.com&amp;sz=128","Pigment favicon")</f>
        <v/>
      </c>
      <c r="B16" s="2" t="inlineStr">
        <is>
          <t>Pigment</t>
        </is>
      </c>
      <c r="C16" s="2" t="inlineStr">
        <is>
          <t>Full-time</t>
        </is>
      </c>
      <c r="D16" s="2" t="inlineStr">
        <is>
          <t>Paris</t>
        </is>
      </c>
      <c r="E16" s="2" t="inlineStr">
        <is>
          <t>Not specified</t>
        </is>
      </c>
      <c r="F16" s="2" t="inlineStr">
        <is>
          <t>SaaS / Planning</t>
        </is>
      </c>
      <c r="G16" s="2" t="inlineStr">
        <is>
          <t>Sales / Growth / Product roles</t>
        </is>
      </c>
      <c r="H16" s="2" t="inlineStr">
        <is>
          <t>12 Rue Sainte-Cécile, 75009 Paris, France</t>
        </is>
      </c>
      <c r="I16" s="2" t="inlineStr">
        <is>
          <t>🟢 Current hiring signal found</t>
        </is>
      </c>
      <c r="J16" s="2" t="inlineStr">
        <is>
          <t>https://jobs.lever.co/pigment</t>
        </is>
      </c>
      <c r="K16" s="2" t="inlineStr">
        <is>
          <t>https://www.pigment.com/careers</t>
        </is>
      </c>
      <c r="L16" s="2" t="inlineStr">
        <is>
          <t>Favicon / company logo</t>
        </is>
      </c>
      <c r="M16" s="5" t="n">
        <v>46255</v>
      </c>
      <c r="N16" s="2" t="inlineStr">
        <is>
          <t>French: English-first / role-dependent | English: Required / useful / role-dependent | Student friendly: No | Embedded brand mark. Re-check the live job page before applying; vacancies can close or change.</t>
        </is>
      </c>
    </row>
    <row r="17" ht="43.2" customHeight="1">
      <c r="A17">
        <f>_xlfn.IMAGE("https://www.google.com/s2/favicons?domain=voodoo.io&amp;sz=128","Voodoo favicon")</f>
        <v/>
      </c>
      <c r="B17" s="2" t="inlineStr">
        <is>
          <t>Voodoo</t>
        </is>
      </c>
      <c r="C17" s="2" t="inlineStr">
        <is>
          <t>Full-time</t>
        </is>
      </c>
      <c r="D17" s="2" t="inlineStr">
        <is>
          <t>Paris</t>
        </is>
      </c>
      <c r="E17" s="2" t="inlineStr">
        <is>
          <t>Not specified</t>
        </is>
      </c>
      <c r="F17" s="2" t="inlineStr">
        <is>
          <t>Gaming / Mobile</t>
        </is>
      </c>
      <c r="G17" s="2" t="inlineStr">
        <is>
          <t>Product / Growth / Tech roles</t>
        </is>
      </c>
      <c r="H17" s="2" t="inlineStr">
        <is>
          <t>20 Rue de Charonne, 75011 Paris, France</t>
        </is>
      </c>
      <c r="I17" s="2" t="inlineStr">
        <is>
          <t>🟢 Current hiring signal found</t>
        </is>
      </c>
      <c r="J17" s="2" t="inlineStr">
        <is>
          <t>https://voodoo.io/careers</t>
        </is>
      </c>
      <c r="K17" s="2" t="inlineStr">
        <is>
          <t>https://voodoo.io/careers</t>
        </is>
      </c>
      <c r="L17" s="2" t="inlineStr">
        <is>
          <t>Favicon / company logo</t>
        </is>
      </c>
      <c r="M17" s="5" t="n">
        <v>46255</v>
      </c>
      <c r="N17" s="2" t="inlineStr">
        <is>
          <t>French: English-first / role-dependent | English: Required / useful / role-dependent | Student friendly: No | Embedded logo asset. Re-check the live job page before applying; vacancies can close or change.</t>
        </is>
      </c>
    </row>
    <row r="18" ht="43.2" customHeight="1">
      <c r="A18">
        <f>_xlfn.IMAGE("https://www.google.com/s2/favicons?domain=front.com&amp;sz=128","Front favicon")</f>
        <v/>
      </c>
      <c r="B18" s="2" t="inlineStr">
        <is>
          <t>Front</t>
        </is>
      </c>
      <c r="C18" s="2" t="inlineStr">
        <is>
          <t>Full-time</t>
        </is>
      </c>
      <c r="D18" s="2" t="inlineStr">
        <is>
          <t>Paris</t>
        </is>
      </c>
      <c r="E18" s="2" t="inlineStr">
        <is>
          <t>Not specified</t>
        </is>
      </c>
      <c r="F18" s="2" t="inlineStr">
        <is>
          <t>SaaS / Customer Communication</t>
        </is>
      </c>
      <c r="G18" s="2" t="inlineStr">
        <is>
          <t>Software Engineering / Product roles</t>
        </is>
      </c>
      <c r="H18" s="2" t="inlineStr">
        <is>
          <t>35 Rue Greneta, 75002 Paris, France (6th floor)</t>
        </is>
      </c>
      <c r="I18" s="2" t="inlineStr">
        <is>
          <t>🟢 Current hiring signal found</t>
        </is>
      </c>
      <c r="J18" s="2" t="inlineStr">
        <is>
          <t>https://jobs.ashbyhq.com/frontcareers</t>
        </is>
      </c>
      <c r="K18" s="2" t="inlineStr">
        <is>
          <t>https://front.com/careers</t>
        </is>
      </c>
      <c r="L18" s="2" t="inlineStr">
        <is>
          <t>Favicon / company logo</t>
        </is>
      </c>
      <c r="M18" s="5" t="n">
        <v>46255</v>
      </c>
      <c r="N18" s="2" t="inlineStr">
        <is>
          <t>French: English-first; company describes itself as English-speaking | English: Required / useful / role-dependent | Student friendly: No | Embedded brand mark. Re-check the live job page before applying; vacancies can close or change.</t>
        </is>
      </c>
    </row>
    <row r="19" ht="43.2" customHeight="1">
      <c r="A19">
        <f>_xlfn.IMAGE("https://www.google.com/s2/favicons?domain=akur8.com&amp;sz=128","Akur8 favicon")</f>
        <v/>
      </c>
      <c r="B19" s="2" t="inlineStr">
        <is>
          <t>Akur8</t>
        </is>
      </c>
      <c r="C19" s="2" t="inlineStr">
        <is>
          <t>Full-time</t>
        </is>
      </c>
      <c r="D19" s="2" t="inlineStr">
        <is>
          <t>Paris</t>
        </is>
      </c>
      <c r="E19" s="2" t="inlineStr">
        <is>
          <t>Not specified</t>
        </is>
      </c>
      <c r="F19" s="2" t="inlineStr">
        <is>
          <t>Insurtech / AI</t>
        </is>
      </c>
      <c r="G19" s="2" t="inlineStr">
        <is>
          <t>Data / Actuarial / Product roles</t>
        </is>
      </c>
      <c r="H19" s="2" t="inlineStr">
        <is>
          <t>14 Rue d'Uzès, 75002 Paris, France</t>
        </is>
      </c>
      <c r="I19" s="2" t="inlineStr">
        <is>
          <t>🟢 Current hiring signal found</t>
        </is>
      </c>
      <c r="J19" s="2" t="inlineStr">
        <is>
          <t>https://www.akur8.com/careers</t>
        </is>
      </c>
      <c r="K19" s="2" t="inlineStr">
        <is>
          <t>https://www.akur8.com/careers</t>
        </is>
      </c>
      <c r="L19" s="2" t="inlineStr">
        <is>
          <t>Favicon / company logo</t>
        </is>
      </c>
      <c r="M19" s="5" t="n">
        <v>46255</v>
      </c>
      <c r="N19" s="2" t="inlineStr">
        <is>
          <t>French: English + French role-dependent | English: Required / useful / role-dependent | Student friendly: No | Embedded brand mark. Re-check the live job page before applying; vacancies can close or change.</t>
        </is>
      </c>
    </row>
    <row r="20" ht="43.2" customHeight="1">
      <c r="A20">
        <f>_xlfn.IMAGE("https://www.google.com/s2/favicons?domain=sorare.com&amp;sz=128","Sorare favicon")</f>
        <v/>
      </c>
      <c r="B20" s="2" t="inlineStr">
        <is>
          <t>Sorare</t>
        </is>
      </c>
      <c r="C20" s="2" t="inlineStr">
        <is>
          <t>Full-time</t>
        </is>
      </c>
      <c r="D20" s="2" t="inlineStr">
        <is>
          <t>Paris</t>
        </is>
      </c>
      <c r="E20" s="2" t="inlineStr">
        <is>
          <t>Not specified</t>
        </is>
      </c>
      <c r="F20" s="2" t="inlineStr">
        <is>
          <t>Sports / Gaming / Web3</t>
        </is>
      </c>
      <c r="G20" s="2" t="inlineStr">
        <is>
          <t>Marketing / Product / Tech roles</t>
        </is>
      </c>
      <c r="H20" s="2" t="inlineStr">
        <is>
          <t>10 Rue de la Paix, 75002 Paris, France</t>
        </is>
      </c>
      <c r="I20" s="2" t="inlineStr">
        <is>
          <t>🟢 Current hiring signal found</t>
        </is>
      </c>
      <c r="J20" s="2" t="inlineStr">
        <is>
          <t>https://jobs.ashbyhq.com/sorare</t>
        </is>
      </c>
      <c r="K20" s="2" t="inlineStr">
        <is>
          <t>https://sorare.com/careers</t>
        </is>
      </c>
      <c r="L20" s="2" t="inlineStr">
        <is>
          <t>Favicon / company logo</t>
        </is>
      </c>
      <c r="M20" s="5" t="n">
        <v>46255</v>
      </c>
      <c r="N20" s="2" t="inlineStr">
        <is>
          <t>French: English-first / role-dependent | English: Required / useful / role-dependent | Student friendly: No | Embedded brand mark. Re-check the live job page before applying; vacancies can close or change.</t>
        </is>
      </c>
    </row>
    <row r="21" ht="43.2" customHeight="1">
      <c r="A21">
        <f>_xlfn.IMAGE("https://www.google.com/s2/favicons?domain=scaleway.com&amp;sz=128","Scaleway favicon")</f>
        <v/>
      </c>
      <c r="B21" s="2" t="inlineStr">
        <is>
          <t>Scaleway</t>
        </is>
      </c>
      <c r="C21" s="2" t="inlineStr">
        <is>
          <t>Full-time</t>
        </is>
      </c>
      <c r="D21" s="2" t="inlineStr">
        <is>
          <t>Paris</t>
        </is>
      </c>
      <c r="E21" s="2" t="inlineStr">
        <is>
          <t>Not specified</t>
        </is>
      </c>
      <c r="F21" s="2" t="inlineStr">
        <is>
          <t>Cloud / Infrastructure</t>
        </is>
      </c>
      <c r="G21" s="2" t="inlineStr">
        <is>
          <t>Cloud / Engineering / Operations roles</t>
        </is>
      </c>
      <c r="H21" s="2" t="inlineStr">
        <is>
          <t>8 Rue de la Ville-l'Évêque, 75008 Paris, France</t>
        </is>
      </c>
      <c r="I21" s="2" t="inlineStr">
        <is>
          <t>🟢 Current hiring signal found</t>
        </is>
      </c>
      <c r="J21" s="2" t="inlineStr">
        <is>
          <t>https://www.scaleway.com/en/careers/</t>
        </is>
      </c>
      <c r="K21" s="2" t="inlineStr">
        <is>
          <t>https://www.scaleway.com/en/careers/</t>
        </is>
      </c>
      <c r="L21" s="2" t="inlineStr">
        <is>
          <t>Favicon / company logo</t>
        </is>
      </c>
      <c r="M21" s="5" t="n">
        <v>46255</v>
      </c>
      <c r="N21" s="2" t="inlineStr">
        <is>
          <t>French: English/French role-dependent | English: Required / useful / role-dependent | Student friendly: No | Embedded brand mark. Re-check the live job page before applying; vacancies can close or change.</t>
        </is>
      </c>
    </row>
  </sheetData>
  <autoFilter ref="A1:N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pane ySplit="1" topLeftCell="A73" activePane="bottomLeft" state="frozen"/>
      <selection pane="bottomLeft" activeCell="A78" sqref="A78:A83"/>
    </sheetView>
  </sheetViews>
  <sheetFormatPr baseColWidth="8" defaultRowHeight="14.4"/>
  <cols>
    <col width="18" customWidth="1" min="1" max="1"/>
    <col width="22" customWidth="1" min="2" max="2"/>
    <col width="24" customWidth="1" min="3" max="4"/>
    <col width="20" customWidth="1" min="5" max="5"/>
    <col width="28" customWidth="1" min="6" max="6"/>
    <col width="42" customWidth="1" min="7" max="7"/>
    <col width="48" customWidth="1" min="8" max="8"/>
    <col width="30" customWidth="1" min="9" max="9"/>
    <col width="55" customWidth="1" min="10" max="10"/>
    <col width="42" customWidth="1" min="11" max="11"/>
    <col width="24" customWidth="1" min="12" max="12"/>
    <col width="16" customWidth="1" min="13" max="13"/>
    <col width="75" customWidth="1" min="14" max="14"/>
  </cols>
  <sheetData>
    <row r="1" ht="31.95" customHeight="1">
      <c r="A1" s="4" t="inlineStr">
        <is>
          <t>Logo</t>
        </is>
      </c>
      <c r="B1" s="4" t="inlineStr">
        <is>
          <t>Company</t>
        </is>
      </c>
      <c r="C1" s="4" t="inlineStr">
        <is>
          <t>Type</t>
        </is>
      </c>
      <c r="D1" s="4" t="inlineStr">
        <is>
          <t>Area</t>
        </is>
      </c>
      <c r="E1" s="4" t="inlineStr">
        <is>
          <t>Stage</t>
        </is>
      </c>
      <c r="F1" s="4" t="inlineStr">
        <is>
          <t>Sector</t>
        </is>
      </c>
      <c r="G1" s="4" t="inlineStr">
        <is>
          <t>Internship Roles</t>
        </is>
      </c>
      <c r="H1" s="4" t="inlineStr">
        <is>
          <t>Location</t>
        </is>
      </c>
      <c r="I1" s="4" t="inlineStr">
        <is>
          <t>Hiring Status</t>
        </is>
      </c>
      <c r="J1" s="4" t="inlineStr">
        <is>
          <t>Application Link</t>
        </is>
      </c>
      <c r="K1" s="4" t="inlineStr">
        <is>
          <t>Company Website</t>
        </is>
      </c>
      <c r="L1" s="4" t="inlineStr">
        <is>
          <t>Logo Type</t>
        </is>
      </c>
      <c r="M1" s="4" t="inlineStr">
        <is>
          <t>Research Date</t>
        </is>
      </c>
      <c r="N1" s="4" t="inlineStr">
        <is>
          <t>Notes</t>
        </is>
      </c>
    </row>
    <row r="2" ht="57.6" customHeight="1">
      <c r="A2" t="e">
        <v>#VALUE!</v>
      </c>
      <c r="B2" s="2" t="inlineStr">
        <is>
          <t>McDonald's</t>
        </is>
      </c>
      <c r="C2" s="2" t="inlineStr">
        <is>
          <t>Part-time / Student</t>
        </is>
      </c>
      <c r="D2" s="2" t="inlineStr">
        <is>
          <t>Paris 1e / Paris 19e / Paris 20e</t>
        </is>
      </c>
      <c r="E2" s="2" t="inlineStr">
        <is>
          <t>Not specified</t>
        </is>
      </c>
      <c r="F2" s="2" t="inlineStr">
        <is>
          <t>Food Service / Fast Food (QSR)</t>
        </is>
      </c>
      <c r="G2" s="2" t="inlineStr">
        <is>
          <t>Employé Polyvalent</t>
        </is>
      </c>
      <c r="H2" s="2" t="inlineStr">
        <is>
          <t>11 Avenue de Wagram, 75017 Paris, France</t>
        </is>
      </c>
      <c r="I2" s="2" t="inlineStr">
        <is>
          <t>🟢 Currently hiring</t>
        </is>
      </c>
      <c r="J2" s="2" t="inlineStr">
        <is>
          <t>https://www.mcdonalds-recrute.fr/nos-restaurants/paris-wagram/</t>
        </is>
      </c>
      <c r="K2" s="2" t="inlineStr">
        <is>
          <t>https://prd-recrute.mcdonalds.fr/nous-rejoindre/etudiants/</t>
        </is>
      </c>
      <c r="L2" s="2" t="inlineStr">
        <is>
          <t>Favicon / company logo</t>
        </is>
      </c>
      <c r="M2" s="5" t="n">
        <v>46255</v>
      </c>
      <c r="N2" s="2" t="inlineStr">
        <is>
          <t>Location: Paris Wagram. Official McDonald's restaurant page shows Employé Polyvalent vacancy; part-time/student scheduling supported. French: French likely for customer-facing work | English: Not specified | Student friendly: Yes | Embedded brand mark. Re-check the live job page before applying; vacancies can close or change.</t>
        </is>
      </c>
    </row>
    <row r="3" ht="57.6" customHeight="1">
      <c r="A3" t="e">
        <v>#VALUE!</v>
      </c>
      <c r="B3" s="2" t="inlineStr">
        <is>
          <t>McDonald's</t>
        </is>
      </c>
      <c r="C3" s="2" t="inlineStr">
        <is>
          <t>Part-time / Student</t>
        </is>
      </c>
      <c r="D3" s="2" t="inlineStr">
        <is>
          <t>Paris 1e / Paris 19e / Paris 20e</t>
        </is>
      </c>
      <c r="E3" s="2" t="inlineStr">
        <is>
          <t>Not specified</t>
        </is>
      </c>
      <c r="F3" s="2" t="inlineStr">
        <is>
          <t>Food Service / Fast Food (QSR)</t>
        </is>
      </c>
      <c r="G3" s="2" t="inlineStr">
        <is>
          <t>Employé Polyvalent</t>
        </is>
      </c>
      <c r="H3" s="2" t="inlineStr">
        <is>
          <t>192 Rue de la Convention, 75015 Paris, France</t>
        </is>
      </c>
      <c r="I3" s="2" t="inlineStr">
        <is>
          <t>🟢 Currently hiring</t>
        </is>
      </c>
      <c r="J3" s="2" t="inlineStr">
        <is>
          <t>https://www.mcdonalds-recrute.fr/nos-restaurants/paris-convention/</t>
        </is>
      </c>
      <c r="K3" s="2" t="inlineStr">
        <is>
          <t>https://prd-recrute.mcdonalds.fr/nous-rejoindre/etudiants/</t>
        </is>
      </c>
      <c r="L3" s="2" t="inlineStr">
        <is>
          <t>Favicon / company logo</t>
        </is>
      </c>
      <c r="M3" s="5" t="n">
        <v>46255</v>
      </c>
      <c r="N3" s="2" t="inlineStr">
        <is>
          <t>Location: Paris Convention. Official McDonald's restaurant page shows Employé Polyvalent vacancy; part-time/student scheduling supported. French: French likely for customer-facing work | English: Not specified | Student friendly: Yes | Embedded brand mark. Re-check the live job page before applying; vacancies can close or change.</t>
        </is>
      </c>
    </row>
    <row r="4" ht="57.6" customHeight="1">
      <c r="A4" t="e">
        <v>#VALUE!</v>
      </c>
      <c r="B4" s="2" t="inlineStr">
        <is>
          <t>McDonald's</t>
        </is>
      </c>
      <c r="C4" s="2" t="inlineStr">
        <is>
          <t>Part-time / Student</t>
        </is>
      </c>
      <c r="D4" s="2" t="inlineStr">
        <is>
          <t>Paris 1e / Paris 19e / Paris 20e</t>
        </is>
      </c>
      <c r="E4" s="2" t="inlineStr">
        <is>
          <t>Not specified</t>
        </is>
      </c>
      <c r="F4" s="2" t="inlineStr">
        <is>
          <t>Food Service / Fast Food (QSR)</t>
        </is>
      </c>
      <c r="G4" s="2" t="inlineStr">
        <is>
          <t>Employé Polyvalent</t>
        </is>
      </c>
      <c r="H4" s="2" t="inlineStr">
        <is>
          <t>2 Boulevard Poissonnière, 75009 Paris, France</t>
        </is>
      </c>
      <c r="I4" s="2" t="inlineStr">
        <is>
          <t>🟢 Currently hiring</t>
        </is>
      </c>
      <c r="J4" s="2" t="inlineStr">
        <is>
          <t>https://www.mcdonalds-recrute.fr/nos-restaurants/paris-bonne-nouvelle/</t>
        </is>
      </c>
      <c r="K4" s="2" t="inlineStr">
        <is>
          <t>https://prd-recrute.mcdonalds.fr/nous-rejoindre/etudiants/</t>
        </is>
      </c>
      <c r="L4" s="2" t="inlineStr">
        <is>
          <t>Favicon / company logo</t>
        </is>
      </c>
      <c r="M4" s="5" t="n">
        <v>46255</v>
      </c>
      <c r="N4" s="2" t="inlineStr">
        <is>
          <t>Location: Paris Bonne Nouvelle. Official McDonald's restaurant page shows Employé Polyvalent vacancy. French: French likely for customer-facing work | English: Not specified | Student friendly: Yes | Embedded brand mark. Re-check the live job page before applying; vacancies can close or change.</t>
        </is>
      </c>
    </row>
    <row r="5" ht="57.6" customHeight="1">
      <c r="A5" t="e">
        <v>#VALUE!</v>
      </c>
      <c r="B5" s="2" t="inlineStr">
        <is>
          <t>McDonald's</t>
        </is>
      </c>
      <c r="C5" s="2" t="inlineStr">
        <is>
          <t>Part-time / Student</t>
        </is>
      </c>
      <c r="D5" s="2" t="inlineStr">
        <is>
          <t>Paris 1e / Paris 19e / Paris 20e</t>
        </is>
      </c>
      <c r="E5" s="2" t="inlineStr">
        <is>
          <t>Not specified</t>
        </is>
      </c>
      <c r="F5" s="2" t="inlineStr">
        <is>
          <t>Food Service / Fast Food (QSR)</t>
        </is>
      </c>
      <c r="G5" s="2" t="inlineStr">
        <is>
          <t>Employé Polyvalent</t>
        </is>
      </c>
      <c r="H5" s="2" t="inlineStr">
        <is>
          <t>208 Avenue Jean Jaurès, 75019 Paris, France</t>
        </is>
      </c>
      <c r="I5" s="2" t="inlineStr">
        <is>
          <t>🟢 Currently hiring</t>
        </is>
      </c>
      <c r="J5" s="2" t="inlineStr">
        <is>
          <t>https://www.mcdonalds-recrute.fr/nos-restaurants/paris-porte-de-pantin/</t>
        </is>
      </c>
      <c r="K5" s="2" t="inlineStr">
        <is>
          <t>https://prd-recrute.mcdonalds.fr/nous-rejoindre/etudiants/</t>
        </is>
      </c>
      <c r="L5" s="2" t="inlineStr">
        <is>
          <t>Favicon / company logo</t>
        </is>
      </c>
      <c r="M5" s="5" t="n">
        <v>46255</v>
      </c>
      <c r="N5" s="2" t="inlineStr">
        <is>
          <t>Location: Paris Porte de Pantin. Official McDonald's restaurant page shows Employé Polyvalent vacancy; part-time/student scheduling supported. French: French likely for customer-facing work | English: Not specified | Student friendly: Yes | Embedded brand mark. Re-check the live job page before applying; vacancies can close or change.</t>
        </is>
      </c>
    </row>
    <row r="6" ht="57.6" customHeight="1">
      <c r="A6" t="e">
        <v>#VALUE!</v>
      </c>
      <c r="B6" s="2" t="inlineStr">
        <is>
          <t>McDonald's</t>
        </is>
      </c>
      <c r="C6" s="2" t="inlineStr">
        <is>
          <t>Part-time / Student</t>
        </is>
      </c>
      <c r="D6" s="2" t="inlineStr">
        <is>
          <t>Paris 1e / Paris 19e / Paris 20e</t>
        </is>
      </c>
      <c r="E6" s="2" t="inlineStr">
        <is>
          <t>Not specified</t>
        </is>
      </c>
      <c r="F6" s="2" t="inlineStr">
        <is>
          <t>Food Service / Fast Food (QSR)</t>
        </is>
      </c>
      <c r="G6" s="2" t="inlineStr">
        <is>
          <t>Employé Polyvalent</t>
        </is>
      </c>
      <c r="H6" s="2" t="inlineStr">
        <is>
          <t>353 Rue de Belleville, 75019 Paris, France</t>
        </is>
      </c>
      <c r="I6" s="2" t="inlineStr">
        <is>
          <t>🟢 Currently hiring</t>
        </is>
      </c>
      <c r="J6" s="2" t="inlineStr">
        <is>
          <t>https://www.mcdonalds-recrute.fr/nos-restaurants/paris-porte-des-lilas/</t>
        </is>
      </c>
      <c r="K6" s="2" t="inlineStr">
        <is>
          <t>https://prd-recrute.mcdonalds.fr/nous-rejoindre/etudiants/</t>
        </is>
      </c>
      <c r="L6" s="2" t="inlineStr">
        <is>
          <t>Favicon / company logo</t>
        </is>
      </c>
      <c r="M6" s="5" t="n">
        <v>46255</v>
      </c>
      <c r="N6" s="2" t="inlineStr">
        <is>
          <t>Location: Paris Porte des Lilas. Official McDonald's restaurant page shows Employé Polyvalent vacancy; part-time/student scheduling supported. French: French likely for customer-facing work | English: Not specified | Student friendly: Yes | Embedded brand mark. Re-check the live job page before applying; vacancies can close or change.</t>
        </is>
      </c>
    </row>
    <row r="7" ht="57.6" customHeight="1">
      <c r="A7" t="e">
        <v>#VALUE!</v>
      </c>
      <c r="B7" s="2" t="inlineStr">
        <is>
          <t>McDonald's</t>
        </is>
      </c>
      <c r="C7" s="2" t="inlineStr">
        <is>
          <t>Part-time / Student</t>
        </is>
      </c>
      <c r="D7" s="2" t="inlineStr">
        <is>
          <t>Paris 1e / Paris 19e / Paris 20e</t>
        </is>
      </c>
      <c r="E7" s="2" t="inlineStr">
        <is>
          <t>Not specified</t>
        </is>
      </c>
      <c r="F7" s="2" t="inlineStr">
        <is>
          <t>Food Service / Fast Food (QSR)</t>
        </is>
      </c>
      <c r="G7" s="2" t="inlineStr">
        <is>
          <t>Employé Polyvalent</t>
        </is>
      </c>
      <c r="H7" s="2" t="inlineStr">
        <is>
          <t>67 Boulevard Davout, 75020 Paris, France</t>
        </is>
      </c>
      <c r="I7" s="2" t="inlineStr">
        <is>
          <t>🟢 Currently hiring</t>
        </is>
      </c>
      <c r="J7" s="2" t="inlineStr">
        <is>
          <t>https://www.mcdonalds-recrute.fr/nos-restaurants/paris-porte-montreuil/</t>
        </is>
      </c>
      <c r="K7" s="2" t="inlineStr">
        <is>
          <t>https://prd-recrute.mcdonalds.fr/nous-rejoindre/etudiants/</t>
        </is>
      </c>
      <c r="L7" s="2" t="inlineStr">
        <is>
          <t>Favicon / company logo</t>
        </is>
      </c>
      <c r="M7" s="5" t="n">
        <v>46255</v>
      </c>
      <c r="N7" s="2" t="inlineStr">
        <is>
          <t>Location: Paris Porte Montreuil. Official McDonald's restaurant page shows Employé Polyvalent vacancy; part-time/student scheduling supported. French: French likely for customer-facing work | English: Not specified | Student friendly: Yes | Embedded brand mark. Re-check the live job page before applying; vacancies can close or change.</t>
        </is>
      </c>
    </row>
    <row r="8" ht="57.6" customHeight="1">
      <c r="A8" t="e">
        <v>#VALUE!</v>
      </c>
      <c r="B8" s="2" t="inlineStr">
        <is>
          <t>McDonald's</t>
        </is>
      </c>
      <c r="C8" s="2" t="inlineStr">
        <is>
          <t>Part-time / Student</t>
        </is>
      </c>
      <c r="D8" s="2" t="inlineStr">
        <is>
          <t>Paris 1e / Paris 19e / Paris 20e</t>
        </is>
      </c>
      <c r="E8" s="2" t="inlineStr">
        <is>
          <t>Not specified</t>
        </is>
      </c>
      <c r="F8" s="2" t="inlineStr">
        <is>
          <t>Food Service / Fast Food (QSR)</t>
        </is>
      </c>
      <c r="G8" s="2" t="inlineStr">
        <is>
          <t>Employé Polyvalent</t>
        </is>
      </c>
      <c r="H8" s="2" t="inlineStr">
        <is>
          <t>77 Boulevard Ornano, 75865 Paris CEDEX 18, France</t>
        </is>
      </c>
      <c r="I8" s="2" t="inlineStr">
        <is>
          <t>🟢 Currently hiring</t>
        </is>
      </c>
      <c r="J8" s="2" t="inlineStr">
        <is>
          <t>https://www.mcdonalds-recrute.fr/nos-restaurants/paris-clignancourt/</t>
        </is>
      </c>
      <c r="K8" s="2" t="inlineStr">
        <is>
          <t>https://prd-recrute.mcdonalds.fr/nous-rejoindre/etudiants/</t>
        </is>
      </c>
      <c r="L8" s="2" t="inlineStr">
        <is>
          <t>Favicon / company logo</t>
        </is>
      </c>
      <c r="M8" s="5" t="n">
        <v>46255</v>
      </c>
      <c r="N8" s="2" t="inlineStr">
        <is>
          <t>Location: Paris Clignancourt. Official McDonald's restaurant page shows Employé Polyvalent vacancy; part-time/student scheduling supported. French: French likely for customer-facing work | English: Not specified | Student friendly: Yes | Embedded brand mark. Re-check the live job page before applying; vacancies can close or change.</t>
        </is>
      </c>
    </row>
    <row r="9" ht="57.6" customHeight="1">
      <c r="A9" t="e">
        <v>#VALUE!</v>
      </c>
      <c r="B9" s="2" t="inlineStr">
        <is>
          <t>McDonald's</t>
        </is>
      </c>
      <c r="C9" s="2" t="inlineStr">
        <is>
          <t>Part-time / Student</t>
        </is>
      </c>
      <c r="D9" s="2" t="inlineStr">
        <is>
          <t>Paris 1e / Paris 19e / Paris 20e</t>
        </is>
      </c>
      <c r="E9" s="2" t="inlineStr">
        <is>
          <t>Not specified</t>
        </is>
      </c>
      <c r="F9" s="2" t="inlineStr">
        <is>
          <t>Food Service / Fast Food (QSR)</t>
        </is>
      </c>
      <c r="G9" s="2" t="inlineStr">
        <is>
          <t>Employé Polyvalent</t>
        </is>
      </c>
      <c r="H9" s="2" t="inlineStr">
        <is>
          <t>88 bis Rue Parmentier, 75011 Paris, France</t>
        </is>
      </c>
      <c r="I9" s="2" t="inlineStr">
        <is>
          <t>🟢 Currently hiring</t>
        </is>
      </c>
      <c r="J9" s="2" t="inlineStr">
        <is>
          <t>https://www.mcdonalds-recrute.fr/nos-restaurants/paris-parmentier/</t>
        </is>
      </c>
      <c r="K9" s="2" t="inlineStr">
        <is>
          <t>https://prd-recrute.mcdonalds.fr/nous-rejoindre/etudiants/</t>
        </is>
      </c>
      <c r="L9" s="2" t="inlineStr">
        <is>
          <t>Favicon / company logo</t>
        </is>
      </c>
      <c r="M9" s="5" t="n">
        <v>46255</v>
      </c>
      <c r="N9" s="2" t="inlineStr">
        <is>
          <t>Location: Paris Parmentier. Official McDonald's restaurant page shows Employé Polyvalent vacancy; part-time/student scheduling supported. French: French likely for customer-facing work | English: Not specified | Student friendly: Yes | Embedded brand mark. Re-check the live job page before applying; vacancies can close or change.</t>
        </is>
      </c>
    </row>
    <row r="10" ht="57.6" customHeight="1">
      <c r="A10" t="e">
        <v>#VALUE!</v>
      </c>
      <c r="B10" s="2" t="inlineStr">
        <is>
          <t>McDonald's</t>
        </is>
      </c>
      <c r="C10" s="2" t="inlineStr">
        <is>
          <t>Part-time / Student</t>
        </is>
      </c>
      <c r="D10" s="2" t="inlineStr">
        <is>
          <t>Paris 1e / Paris 19e / Paris 20e</t>
        </is>
      </c>
      <c r="E10" s="2" t="inlineStr">
        <is>
          <t>Not specified</t>
        </is>
      </c>
      <c r="F10" s="2" t="inlineStr">
        <is>
          <t>Food Service / Fast Food (QSR)</t>
        </is>
      </c>
      <c r="G10" s="2" t="inlineStr">
        <is>
          <t>Employé Polyvalent</t>
        </is>
      </c>
      <c r="H10" s="2" t="inlineStr">
        <is>
          <t>9–11 Avenue de Choisy, 75013 Paris, France</t>
        </is>
      </c>
      <c r="I10" s="2" t="inlineStr">
        <is>
          <t>🟢 Currently hiring</t>
        </is>
      </c>
      <c r="J10" s="2" t="inlineStr">
        <is>
          <t>https://www.mcdonalds-recrute.fr/nos-restaurants/paris-avenue-de-choisy/</t>
        </is>
      </c>
      <c r="K10" s="2" t="inlineStr">
        <is>
          <t>https://prd-recrute.mcdonalds.fr/nous-rejoindre/etudiants/</t>
        </is>
      </c>
      <c r="L10" s="2" t="inlineStr">
        <is>
          <t>Favicon / company logo</t>
        </is>
      </c>
      <c r="M10" s="5" t="n">
        <v>46255</v>
      </c>
      <c r="N10" s="2" t="inlineStr">
        <is>
          <t>Location: Paris Avenue de Choisy. Official McDonald's restaurant page shows Employé Polyvalent vacancy; part-time/student scheduling supported. French: French likely for customer-facing work | English: Not specified | Student friendly: Yes | Embedded brand mark. Re-check the live job page before applying; vacancies can close or change.</t>
        </is>
      </c>
    </row>
    <row r="11" ht="57.6" customHeight="1">
      <c r="A11">
        <f>_xlfn.IMAGE("https://www.google.com/s2/favicons?domain=recrutement.fiveguys.fr&amp;sz=128","Five Guys favicon")</f>
        <v/>
      </c>
      <c r="B11" s="2" t="inlineStr">
        <is>
          <t>Five Guys</t>
        </is>
      </c>
      <c r="C11" s="2" t="inlineStr">
        <is>
          <t>Part-time / CDI</t>
        </is>
      </c>
      <c r="D11" s="2" t="inlineStr">
        <is>
          <t>Paris 1er / Paris 9e / Paris 12e</t>
        </is>
      </c>
      <c r="E11" s="2" t="inlineStr">
        <is>
          <t>Not specified</t>
        </is>
      </c>
      <c r="F11" s="2" t="inlineStr">
        <is>
          <t>Food Service / Fast Food (QSR)</t>
        </is>
      </c>
      <c r="G11" s="2" t="inlineStr">
        <is>
          <t>Equipier Polyvalent</t>
        </is>
      </c>
      <c r="H11" s="2" t="inlineStr">
        <is>
          <t>2 Boulevard Haussmann, 75009 Paris, France</t>
        </is>
      </c>
      <c r="I11" s="2" t="inlineStr">
        <is>
          <t>🟢 Currently hiring</t>
        </is>
      </c>
      <c r="J11" s="2" t="inlineStr">
        <is>
          <t>https://recrutement.fiveguys.fr/jobs?split_view=true</t>
        </is>
      </c>
      <c r="K11" s="2" t="inlineStr">
        <is>
          <t>https://recrutement.fiveguys.fr/</t>
        </is>
      </c>
      <c r="L11" s="2" t="inlineStr">
        <is>
          <t>Favicon / company logo</t>
        </is>
      </c>
      <c r="M11" s="5" t="n">
        <v>46255</v>
      </c>
      <c r="N11" s="2" t="inlineStr">
        <is>
          <t>Location: Paris 9ème – Haussmann. Official Five Guys careers page currently lists Équipier Polyvalent H/F — Paris 9ème, Haussmann. French: French read/write/speak indispensable | English: Not specified | Student friendly: Yes | Embedded brand mark. Re-check the live job page before applying; vacancies can close or change.</t>
        </is>
      </c>
    </row>
    <row r="12" ht="43.2" customHeight="1">
      <c r="A12">
        <f>_xlfn.IMAGE("https://www.google.com/s2/favicons?domain=emploi.burgerking.fr&amp;sz=128","Burger King favicon")</f>
        <v/>
      </c>
      <c r="B12" s="2" t="inlineStr">
        <is>
          <t>Burger King</t>
        </is>
      </c>
      <c r="C12" s="2" t="inlineStr">
        <is>
          <t>Part-time / CDI</t>
        </is>
      </c>
      <c r="D12" s="2" t="inlineStr">
        <is>
          <t>Paris / Greater Paris</t>
        </is>
      </c>
      <c r="E12" s="2" t="inlineStr">
        <is>
          <t>Not specified</t>
        </is>
      </c>
      <c r="F12" s="2" t="inlineStr">
        <is>
          <t>Food Service / Fast Food (QSR)</t>
        </is>
      </c>
      <c r="G12" s="2" t="inlineStr">
        <is>
          <t>Équipier•ère</t>
        </is>
      </c>
      <c r="H12" s="2" t="inlineStr">
        <is>
          <t>Paris 10th arrondissement (Gare de l'Est) : 93 Boulevard de Strasbourg, 75010 Paris</t>
        </is>
      </c>
      <c r="I12" s="2" t="inlineStr">
        <is>
          <t>🟡 Company recruits part-time; exact current location not verified</t>
        </is>
      </c>
      <c r="J12" s="2" t="inlineStr">
        <is>
          <t>https://emploi.burgerking.fr/nos-metiers/equipier/</t>
        </is>
      </c>
      <c r="K12" s="2" t="inlineStr">
        <is>
          <t>https://emploi.burgerking.fr/</t>
        </is>
      </c>
      <c r="L12" s="2" t="inlineStr">
        <is>
          <t>Favicon / company logo</t>
        </is>
      </c>
      <c r="M12" s="5" t="n">
        <v>46255</v>
      </c>
      <c r="N12" s="2" t="inlineStr">
        <is>
          <t>French: French likely for customer service | English: Not specified | Student friendly: Yes | Embedded brand mark. Re-check the live job page before applying; vacancies can close or change.</t>
        </is>
      </c>
    </row>
    <row r="13" ht="43.2" customHeight="1">
      <c r="A13">
        <f>_xlfn.IMAGE("https://www.google.com/s2/favicons?domain=emploi.burgerking.fr&amp;sz=128","Burger King favicon")</f>
        <v/>
      </c>
      <c r="B13" s="2" t="inlineStr">
        <is>
          <t>Burger King</t>
        </is>
      </c>
      <c r="C13" s="2" t="inlineStr">
        <is>
          <t>Part-time / CDI</t>
        </is>
      </c>
      <c r="D13" s="2" t="inlineStr">
        <is>
          <t>Paris / Greater Paris</t>
        </is>
      </c>
      <c r="E13" s="2" t="inlineStr">
        <is>
          <t>Not specified</t>
        </is>
      </c>
      <c r="F13" s="2" t="inlineStr">
        <is>
          <t>Food Service / Fast Food (QSR)</t>
        </is>
      </c>
      <c r="G13" s="2" t="inlineStr">
        <is>
          <t>Équipier•ère</t>
        </is>
      </c>
      <c r="H13" s="2" t="inlineStr">
        <is>
          <t>Paris 10th arrondissement (Gare du Nord) : 25 Rue de Dunkerque, 75010 Paris</t>
        </is>
      </c>
      <c r="I13" s="2" t="inlineStr">
        <is>
          <t>🟡 Company recruits part-time; exact current location not verified</t>
        </is>
      </c>
      <c r="J13" s="2" t="inlineStr">
        <is>
          <t>https://emploi.burgerking.fr/nos-metiers/equipier/</t>
        </is>
      </c>
      <c r="K13" s="2" t="inlineStr">
        <is>
          <t>https://emploi.burgerking.fr/</t>
        </is>
      </c>
      <c r="L13" s="2" t="inlineStr">
        <is>
          <t>Favicon / company logo</t>
        </is>
      </c>
      <c r="M13" s="5" t="n">
        <v>46255</v>
      </c>
      <c r="N13" s="2" t="inlineStr">
        <is>
          <t>French: French likely for customer service | English: Not specified | Student friendly: Yes | Embedded brand mark. Re-check the live job page before applying; vacancies can close or change.</t>
        </is>
      </c>
    </row>
    <row r="14" ht="43.2" customHeight="1">
      <c r="A14">
        <f>_xlfn.IMAGE("https://www.google.com/s2/favicons?domain=emploi.burgerking.fr&amp;sz=128","Burger King favicon")</f>
        <v/>
      </c>
      <c r="B14" s="2" t="inlineStr">
        <is>
          <t>Burger King</t>
        </is>
      </c>
      <c r="C14" s="2" t="inlineStr">
        <is>
          <t>Part-time / CDI</t>
        </is>
      </c>
      <c r="D14" s="2" t="inlineStr">
        <is>
          <t>Paris / Greater Paris</t>
        </is>
      </c>
      <c r="E14" s="2" t="inlineStr">
        <is>
          <t>Not specified</t>
        </is>
      </c>
      <c r="F14" s="2" t="inlineStr">
        <is>
          <t>Food Service / Fast Food (QSR)</t>
        </is>
      </c>
      <c r="G14" s="2" t="inlineStr">
        <is>
          <t>Équipier•ère</t>
        </is>
      </c>
      <c r="H14" s="2" t="inlineStr">
        <is>
          <t>Paris 11th arrondissement (Bastille) : 20 Rue de la Roquette, 75011 Paris</t>
        </is>
      </c>
      <c r="I14" s="2" t="inlineStr">
        <is>
          <t>🟡 Company recruits part-time; exact current location not verified</t>
        </is>
      </c>
      <c r="J14" s="2" t="inlineStr">
        <is>
          <t>https://emploi.burgerking.fr/nos-metiers/equipier/</t>
        </is>
      </c>
      <c r="K14" s="2" t="inlineStr">
        <is>
          <t>https://emploi.burgerking.fr/</t>
        </is>
      </c>
      <c r="L14" s="2" t="inlineStr">
        <is>
          <t>Favicon / company logo</t>
        </is>
      </c>
      <c r="M14" s="5" t="n">
        <v>46255</v>
      </c>
      <c r="N14" s="2" t="inlineStr">
        <is>
          <t>French: French likely for customer service | English: Not specified | Student friendly: Yes | Embedded brand mark. Re-check the live job page before applying; vacancies can close or change.</t>
        </is>
      </c>
    </row>
    <row r="15" ht="43.2" customHeight="1">
      <c r="A15">
        <f>_xlfn.IMAGE("https://www.google.com/s2/favicons?domain=emploi.burgerking.fr&amp;sz=128","Burger King favicon")</f>
        <v/>
      </c>
      <c r="B15" s="2" t="inlineStr">
        <is>
          <t>Burger King</t>
        </is>
      </c>
      <c r="C15" s="2" t="inlineStr">
        <is>
          <t>Part-time / CDI</t>
        </is>
      </c>
      <c r="D15" s="2" t="inlineStr">
        <is>
          <t>Paris / Greater Paris</t>
        </is>
      </c>
      <c r="E15" s="2" t="inlineStr">
        <is>
          <t>Not specified</t>
        </is>
      </c>
      <c r="F15" s="2" t="inlineStr">
        <is>
          <t>Food Service / Fast Food (QSR)</t>
        </is>
      </c>
      <c r="G15" s="2" t="inlineStr">
        <is>
          <t>Équipier•ère</t>
        </is>
      </c>
      <c r="H15" s="2" t="inlineStr">
        <is>
          <t>Paris 12th arrondissement (Daumesnil) : 279 Avenue Daumesnil, 75012 Paris</t>
        </is>
      </c>
      <c r="I15" s="2" t="inlineStr">
        <is>
          <t>🟡 Company recruits part-time; exact current location not verified</t>
        </is>
      </c>
      <c r="J15" s="2" t="inlineStr">
        <is>
          <t>https://emploi.burgerking.fr/nos-metiers/equipier/</t>
        </is>
      </c>
      <c r="K15" s="2" t="inlineStr">
        <is>
          <t>https://emploi.burgerking.fr/</t>
        </is>
      </c>
      <c r="L15" s="2" t="inlineStr">
        <is>
          <t>Favicon / company logo</t>
        </is>
      </c>
      <c r="M15" s="5" t="n">
        <v>46255</v>
      </c>
      <c r="N15" s="2" t="inlineStr">
        <is>
          <t>French: French likely for customer service | English: Not specified | Student friendly: Yes | Embedded brand mark. Re-check the live job page before applying; vacancies can close or change.</t>
        </is>
      </c>
    </row>
    <row r="16" ht="43.2" customHeight="1">
      <c r="A16">
        <f>_xlfn.IMAGE("https://www.google.com/s2/favicons?domain=emploi.burgerking.fr&amp;sz=128","Burger King favicon")</f>
        <v/>
      </c>
      <c r="B16" s="2" t="inlineStr">
        <is>
          <t>Burger King</t>
        </is>
      </c>
      <c r="C16" s="2" t="inlineStr">
        <is>
          <t>Part-time / CDI</t>
        </is>
      </c>
      <c r="D16" s="2" t="inlineStr">
        <is>
          <t>Paris / Greater Paris</t>
        </is>
      </c>
      <c r="E16" s="2" t="inlineStr">
        <is>
          <t>Not specified</t>
        </is>
      </c>
      <c r="F16" s="2" t="inlineStr">
        <is>
          <t>Food Service / Fast Food (QSR)</t>
        </is>
      </c>
      <c r="G16" s="2" t="inlineStr">
        <is>
          <t>Équipier•ère</t>
        </is>
      </c>
      <c r="H16" s="2" t="inlineStr">
        <is>
          <t>Paris 12th arrondissement (Nation) : 4 Avenue du Trône, 75012 Paris</t>
        </is>
      </c>
      <c r="I16" s="2" t="inlineStr">
        <is>
          <t>🟡 Company recruits part-time; exact current location not verified</t>
        </is>
      </c>
      <c r="J16" s="2" t="inlineStr">
        <is>
          <t>https://emploi.burgerking.fr/nos-metiers/equipier/</t>
        </is>
      </c>
      <c r="K16" s="2" t="inlineStr">
        <is>
          <t>https://emploi.burgerking.fr/</t>
        </is>
      </c>
      <c r="L16" s="2" t="inlineStr">
        <is>
          <t>Favicon / company logo</t>
        </is>
      </c>
      <c r="M16" s="5" t="n">
        <v>46255</v>
      </c>
      <c r="N16" s="2" t="inlineStr">
        <is>
          <t>French: French likely for customer service | English: Not specified | Student friendly: Yes | Embedded brand mark. Re-check the live job page before applying; vacancies can close or change.</t>
        </is>
      </c>
    </row>
    <row r="17" ht="43.2" customHeight="1">
      <c r="A17">
        <f>_xlfn.IMAGE("https://www.google.com/s2/favicons?domain=emploi.burgerking.fr&amp;sz=128","Burger King favicon")</f>
        <v/>
      </c>
      <c r="B17" s="2" t="inlineStr">
        <is>
          <t>Burger King</t>
        </is>
      </c>
      <c r="C17" s="2" t="inlineStr">
        <is>
          <t>Part-time / CDI</t>
        </is>
      </c>
      <c r="D17" s="2" t="inlineStr">
        <is>
          <t>Paris / Greater Paris</t>
        </is>
      </c>
      <c r="E17" s="2" t="inlineStr">
        <is>
          <t>Not specified</t>
        </is>
      </c>
      <c r="F17" s="2" t="inlineStr">
        <is>
          <t>Food Service / Fast Food (QSR)</t>
        </is>
      </c>
      <c r="G17" s="2" t="inlineStr">
        <is>
          <t>Équipier•ère</t>
        </is>
      </c>
      <c r="H17" s="2" t="inlineStr">
        <is>
          <t>Paris 13th arrondissement (Bercy) : 1 Rue George Balanchine, 75013 Paris</t>
        </is>
      </c>
      <c r="I17" s="2" t="inlineStr">
        <is>
          <t>🟡 Company recruits part-time; exact current location not verified</t>
        </is>
      </c>
      <c r="J17" s="2" t="inlineStr">
        <is>
          <t>https://emploi.burgerking.fr/nos-metiers/equipier/</t>
        </is>
      </c>
      <c r="K17" s="2" t="inlineStr">
        <is>
          <t>https://emploi.burgerking.fr/</t>
        </is>
      </c>
      <c r="L17" s="2" t="inlineStr">
        <is>
          <t>Favicon / company logo</t>
        </is>
      </c>
      <c r="M17" s="5" t="n">
        <v>46255</v>
      </c>
      <c r="N17" s="2" t="inlineStr">
        <is>
          <t>French: French likely for customer service | English: Not specified | Student friendly: Yes | Embedded brand mark. Re-check the live job page before applying; vacancies can close or change.</t>
        </is>
      </c>
    </row>
    <row r="18" ht="43.2" customHeight="1">
      <c r="A18">
        <f>_xlfn.IMAGE("https://www.google.com/s2/favicons?domain=emploi.burgerking.fr&amp;sz=128","Burger King favicon")</f>
        <v/>
      </c>
      <c r="B18" s="2" t="inlineStr">
        <is>
          <t>Burger King</t>
        </is>
      </c>
      <c r="C18" s="2" t="inlineStr">
        <is>
          <t>Part-time / CDI</t>
        </is>
      </c>
      <c r="D18" s="2" t="inlineStr">
        <is>
          <t>Paris / Greater Paris</t>
        </is>
      </c>
      <c r="E18" s="2" t="inlineStr">
        <is>
          <t>Not specified</t>
        </is>
      </c>
      <c r="F18" s="2" t="inlineStr">
        <is>
          <t>Food Service / Fast Food (QSR)</t>
        </is>
      </c>
      <c r="G18" s="2" t="inlineStr">
        <is>
          <t>Équipier•ère</t>
        </is>
      </c>
      <c r="H18" s="2" t="inlineStr">
        <is>
          <t>Paris 13th arrondissement (François Mitterrand Library) : 79-81 Quai de la Gare, 75013 Paris</t>
        </is>
      </c>
      <c r="I18" s="2" t="inlineStr">
        <is>
          <t>🟡 Company recruits part-time; exact current location not verified</t>
        </is>
      </c>
      <c r="J18" s="2" t="inlineStr">
        <is>
          <t>https://emploi.burgerking.fr/nos-metiers/equipier/</t>
        </is>
      </c>
      <c r="K18" s="2" t="inlineStr">
        <is>
          <t>https://emploi.burgerking.fr/</t>
        </is>
      </c>
      <c r="L18" s="2" t="inlineStr">
        <is>
          <t>Favicon / company logo</t>
        </is>
      </c>
      <c r="M18" s="5" t="n">
        <v>46255</v>
      </c>
      <c r="N18" s="2" t="inlineStr">
        <is>
          <t>French: French likely for customer service | English: Not specified | Student friendly: Yes | Embedded brand mark. Re-check the live job page before applying; vacancies can close or change.</t>
        </is>
      </c>
    </row>
    <row r="19" ht="43.2" customHeight="1">
      <c r="A19">
        <f>_xlfn.IMAGE("https://www.google.com/s2/favicons?domain=emploi.burgerking.fr&amp;sz=128","Burger King favicon")</f>
        <v/>
      </c>
      <c r="B19" s="2" t="inlineStr">
        <is>
          <t>Burger King</t>
        </is>
      </c>
      <c r="C19" s="2" t="inlineStr">
        <is>
          <t>Part-time / CDI</t>
        </is>
      </c>
      <c r="D19" s="2" t="inlineStr">
        <is>
          <t>Paris / Greater Paris</t>
        </is>
      </c>
      <c r="E19" s="2" t="inlineStr">
        <is>
          <t>Not specified</t>
        </is>
      </c>
      <c r="F19" s="2" t="inlineStr">
        <is>
          <t>Food Service / Fast Food (QSR)</t>
        </is>
      </c>
      <c r="G19" s="2" t="inlineStr">
        <is>
          <t>Équipier•ère</t>
        </is>
      </c>
      <c r="H19" s="2" t="inlineStr">
        <is>
          <t>Paris 14e (Alésia) : 78-80 Avenue du Général Leclerc, 75014 Paris</t>
        </is>
      </c>
      <c r="I19" s="2" t="inlineStr">
        <is>
          <t>🟡 Company recruits part-time; exact current location not verified</t>
        </is>
      </c>
      <c r="J19" s="2" t="inlineStr">
        <is>
          <t>https://emploi.burgerking.fr/nos-metiers/equipier/</t>
        </is>
      </c>
      <c r="K19" s="2" t="inlineStr">
        <is>
          <t>https://emploi.burgerking.fr/</t>
        </is>
      </c>
      <c r="L19" s="2" t="inlineStr">
        <is>
          <t>Favicon / company logo</t>
        </is>
      </c>
      <c r="M19" s="5" t="n">
        <v>46255</v>
      </c>
      <c r="N19" s="2" t="inlineStr">
        <is>
          <t>French: French likely for customer service | English: Not specified | Student friendly: Yes | Embedded brand mark. Re-check the live job page before applying; vacancies can close or change.</t>
        </is>
      </c>
    </row>
    <row r="20" ht="43.2" customHeight="1">
      <c r="A20">
        <f>_xlfn.IMAGE("https://www.google.com/s2/favicons?domain=emploi.burgerking.fr&amp;sz=128","Burger King favicon")</f>
        <v/>
      </c>
      <c r="B20" s="2" t="inlineStr">
        <is>
          <t>Burger King</t>
        </is>
      </c>
      <c r="C20" s="2" t="inlineStr">
        <is>
          <t>Part-time / CDI</t>
        </is>
      </c>
      <c r="D20" s="2" t="inlineStr">
        <is>
          <t>Paris / Greater Paris</t>
        </is>
      </c>
      <c r="E20" s="2" t="inlineStr">
        <is>
          <t>Not specified</t>
        </is>
      </c>
      <c r="F20" s="2" t="inlineStr">
        <is>
          <t>Food Service / Fast Food (QSR)</t>
        </is>
      </c>
      <c r="G20" s="2" t="inlineStr">
        <is>
          <t>Équipier•ère</t>
        </is>
      </c>
      <c r="H20" s="2" t="inlineStr">
        <is>
          <t>Paris 14e (Montparnasse) : 84 Boulevard du Montparnasse, 75014 Paris</t>
        </is>
      </c>
      <c r="I20" s="2" t="inlineStr">
        <is>
          <t>🟡 Company recruits part-time; exact current location not verified</t>
        </is>
      </c>
      <c r="J20" s="2" t="inlineStr">
        <is>
          <t>https://emploi.burgerking.fr/nos-metiers/equipier/</t>
        </is>
      </c>
      <c r="K20" s="2" t="inlineStr">
        <is>
          <t>https://emploi.burgerking.fr/</t>
        </is>
      </c>
      <c r="L20" s="2" t="inlineStr">
        <is>
          <t>Favicon / company logo</t>
        </is>
      </c>
      <c r="M20" s="5" t="n">
        <v>46255</v>
      </c>
      <c r="N20" s="2" t="inlineStr">
        <is>
          <t>French: French likely for customer service | English: Not specified | Student friendly: Yes | Embedded brand mark. Re-check the live job page before applying; vacancies can close or change.</t>
        </is>
      </c>
    </row>
    <row r="21" ht="43.2" customHeight="1">
      <c r="A21">
        <f>_xlfn.IMAGE("https://www.google.com/s2/favicons?domain=emploi.burgerking.fr&amp;sz=128","Burger King favicon")</f>
        <v/>
      </c>
      <c r="B21" s="2" t="inlineStr">
        <is>
          <t>Burger King</t>
        </is>
      </c>
      <c r="C21" s="2" t="inlineStr">
        <is>
          <t>Part-time / CDI</t>
        </is>
      </c>
      <c r="D21" s="2" t="inlineStr">
        <is>
          <t>Paris / Greater Paris</t>
        </is>
      </c>
      <c r="E21" s="2" t="inlineStr">
        <is>
          <t>Not specified</t>
        </is>
      </c>
      <c r="F21" s="2" t="inlineStr">
        <is>
          <t>Food Service / Fast Food (QSR)</t>
        </is>
      </c>
      <c r="G21" s="2" t="inlineStr">
        <is>
          <t>Équipier•ère</t>
        </is>
      </c>
      <c r="H21" s="2" t="inlineStr">
        <is>
          <t>Paris 15e (Beaugrenelle) : 7 Rue Linois (Immeuble Panoramic), 75015 Paris</t>
        </is>
      </c>
      <c r="I21" s="2" t="inlineStr">
        <is>
          <t>🟡 Company recruits part-time; exact current location not verified</t>
        </is>
      </c>
      <c r="J21" s="2" t="inlineStr">
        <is>
          <t>https://emploi.burgerking.fr/nos-metiers/equipier/</t>
        </is>
      </c>
      <c r="K21" s="2" t="inlineStr">
        <is>
          <t>https://emploi.burgerking.fr/</t>
        </is>
      </c>
      <c r="L21" s="2" t="inlineStr">
        <is>
          <t>Favicon / company logo</t>
        </is>
      </c>
      <c r="M21" s="5" t="n">
        <v>46255</v>
      </c>
      <c r="N21" s="2" t="inlineStr">
        <is>
          <t>French: French likely for customer service | English: Not specified | Student friendly: Yes | Embedded brand mark. Re-check the live job page before applying; vacancies can close or change.</t>
        </is>
      </c>
    </row>
    <row r="22" ht="43.2" customHeight="1">
      <c r="A22">
        <f>_xlfn.IMAGE("https://www.google.com/s2/favicons?domain=emploi.burgerking.fr&amp;sz=128","Burger King favicon")</f>
        <v/>
      </c>
      <c r="B22" s="2" t="inlineStr">
        <is>
          <t>Burger King</t>
        </is>
      </c>
      <c r="C22" s="2" t="inlineStr">
        <is>
          <t>Part-time / CDI</t>
        </is>
      </c>
      <c r="D22" s="2" t="inlineStr">
        <is>
          <t>Paris / Greater Paris</t>
        </is>
      </c>
      <c r="E22" s="2" t="inlineStr">
        <is>
          <t>Not specified</t>
        </is>
      </c>
      <c r="F22" s="2" t="inlineStr">
        <is>
          <t>Food Service / Fast Food (QSR)</t>
        </is>
      </c>
      <c r="G22" s="2" t="inlineStr">
        <is>
          <t>Équipier•ère</t>
        </is>
      </c>
      <c r="H22" s="2" t="inlineStr">
        <is>
          <t>Paris 15e (Vaugirard) : 286 Rue de Vaugirard, 75015 Paris</t>
        </is>
      </c>
      <c r="I22" s="2" t="inlineStr">
        <is>
          <t>🟡 Company recruits part-time; exact current location not verified</t>
        </is>
      </c>
      <c r="J22" s="2" t="inlineStr">
        <is>
          <t>https://emploi.burgerking.fr/nos-metiers/equipier/</t>
        </is>
      </c>
      <c r="K22" s="2" t="inlineStr">
        <is>
          <t>https://emploi.burgerking.fr/</t>
        </is>
      </c>
      <c r="L22" s="2" t="inlineStr">
        <is>
          <t>Favicon / company logo</t>
        </is>
      </c>
      <c r="M22" s="5" t="n">
        <v>46255</v>
      </c>
      <c r="N22" s="2" t="inlineStr">
        <is>
          <t>French: French likely for customer service | English: Not specified | Student friendly: Yes | Embedded brand mark. Re-check the live job page before applying; vacancies can close or change.</t>
        </is>
      </c>
    </row>
    <row r="23" ht="43.2" customHeight="1">
      <c r="A23">
        <f>_xlfn.IMAGE("https://www.google.com/s2/favicons?domain=emploi.burgerking.fr&amp;sz=128","Burger King favicon")</f>
        <v/>
      </c>
      <c r="B23" s="2" t="inlineStr">
        <is>
          <t>Burger King</t>
        </is>
      </c>
      <c r="C23" s="2" t="inlineStr">
        <is>
          <t>Part-time / CDI</t>
        </is>
      </c>
      <c r="D23" s="2" t="inlineStr">
        <is>
          <t>Paris / Greater Paris</t>
        </is>
      </c>
      <c r="E23" s="2" t="inlineStr">
        <is>
          <t>Not specified</t>
        </is>
      </c>
      <c r="F23" s="2" t="inlineStr">
        <is>
          <t>Food Service / Fast Food (QSR)</t>
        </is>
      </c>
      <c r="G23" s="2" t="inlineStr">
        <is>
          <t>Équipier•ère</t>
        </is>
      </c>
      <c r="H23" s="2" t="inlineStr">
        <is>
          <t>Paris 16e (Radio France) : 18 Avenue du Président Kennedy, 75016 Paris</t>
        </is>
      </c>
      <c r="I23" s="2" t="inlineStr">
        <is>
          <t>🟡 Company recruits part-time; exact current location not verified</t>
        </is>
      </c>
      <c r="J23" s="2" t="inlineStr">
        <is>
          <t>https://emploi.burgerking.fr/nos-metiers/equipier/</t>
        </is>
      </c>
      <c r="K23" s="2" t="inlineStr">
        <is>
          <t>https://emploi.burgerking.fr/</t>
        </is>
      </c>
      <c r="L23" s="2" t="inlineStr">
        <is>
          <t>Favicon / company logo</t>
        </is>
      </c>
      <c r="M23" s="5" t="n">
        <v>46255</v>
      </c>
      <c r="N23" s="2" t="inlineStr">
        <is>
          <t>French: French likely for customer service | English: Not specified | Student friendly: Yes | Embedded brand mark. Re-check the live job page before applying; vacancies can close or change.</t>
        </is>
      </c>
    </row>
    <row r="24" ht="43.2" customHeight="1">
      <c r="A24">
        <f>_xlfn.IMAGE("https://www.google.com/s2/favicons?domain=emploi.burgerking.fr&amp;sz=128","Burger King favicon")</f>
        <v/>
      </c>
      <c r="B24" s="2" t="inlineStr">
        <is>
          <t>Burger King</t>
        </is>
      </c>
      <c r="C24" s="2" t="inlineStr">
        <is>
          <t>Part-time / CDI</t>
        </is>
      </c>
      <c r="D24" s="2" t="inlineStr">
        <is>
          <t>Paris / Greater Paris</t>
        </is>
      </c>
      <c r="E24" s="2" t="inlineStr">
        <is>
          <t>Not specified</t>
        </is>
      </c>
      <c r="F24" s="2" t="inlineStr">
        <is>
          <t>Food Service / Fast Food (QSR)</t>
        </is>
      </c>
      <c r="G24" s="2" t="inlineStr">
        <is>
          <t>Équipier•ère</t>
        </is>
      </c>
      <c r="H24" s="2" t="inlineStr">
        <is>
          <t>Paris 17e (Place des Ternes) : 16 Rue de Tilsitt, 75017 Paris</t>
        </is>
      </c>
      <c r="I24" s="2" t="inlineStr">
        <is>
          <t>🟡 Company recruits part-time; exact current location not verified</t>
        </is>
      </c>
      <c r="J24" s="2" t="inlineStr">
        <is>
          <t>https://emploi.burgerking.fr/nos-metiers/equipier/</t>
        </is>
      </c>
      <c r="K24" s="2" t="inlineStr">
        <is>
          <t>https://emploi.burgerking.fr/</t>
        </is>
      </c>
      <c r="L24" s="2" t="inlineStr">
        <is>
          <t>Favicon / company logo</t>
        </is>
      </c>
      <c r="M24" s="5" t="n">
        <v>46255</v>
      </c>
      <c r="N24" s="2" t="inlineStr">
        <is>
          <t>French: French likely for customer service | English: Not specified | Student friendly: Yes | Embedded brand mark. Re-check the live job page before applying; vacancies can close or change.</t>
        </is>
      </c>
    </row>
    <row r="25" ht="43.2" customHeight="1">
      <c r="A25">
        <f>_xlfn.IMAGE("https://www.google.com/s2/favicons?domain=emploi.burgerking.fr&amp;sz=128","Burger King favicon")</f>
        <v/>
      </c>
      <c r="B25" s="2" t="inlineStr">
        <is>
          <t>Burger King</t>
        </is>
      </c>
      <c r="C25" s="2" t="inlineStr">
        <is>
          <t>Part-time / CDI</t>
        </is>
      </c>
      <c r="D25" s="2" t="inlineStr">
        <is>
          <t>Paris / Greater Paris</t>
        </is>
      </c>
      <c r="E25" s="2" t="inlineStr">
        <is>
          <t>Not specified</t>
        </is>
      </c>
      <c r="F25" s="2" t="inlineStr">
        <is>
          <t>Food Service / Fast Food (QSR)</t>
        </is>
      </c>
      <c r="G25" s="2" t="inlineStr">
        <is>
          <t>Équipier•ère</t>
        </is>
      </c>
      <c r="H25" s="2" t="inlineStr">
        <is>
          <t>Paris 17e (Porte de Clichy) : 187 Avenue de Clichy, 75017 Paris</t>
        </is>
      </c>
      <c r="I25" s="2" t="inlineStr">
        <is>
          <t>🟡 Company recruits part-time; exact current location not verified</t>
        </is>
      </c>
      <c r="J25" s="2" t="inlineStr">
        <is>
          <t>https://emploi.burgerking.fr/nos-metiers/equipier/</t>
        </is>
      </c>
      <c r="K25" s="2" t="inlineStr">
        <is>
          <t>https://emploi.burgerking.fr/</t>
        </is>
      </c>
      <c r="L25" s="2" t="inlineStr">
        <is>
          <t>Favicon / company logo</t>
        </is>
      </c>
      <c r="M25" s="5" t="n">
        <v>46255</v>
      </c>
      <c r="N25" s="2" t="inlineStr">
        <is>
          <t>French: French likely for customer service | English: Not specified | Student friendly: Yes | Embedded brand mark. Re-check the live job page before applying; vacancies can close or change.</t>
        </is>
      </c>
    </row>
    <row r="26" ht="43.2" customHeight="1">
      <c r="A26">
        <f>_xlfn.IMAGE("https://www.google.com/s2/favicons?domain=emploi.burgerking.fr&amp;sz=128","Burger King favicon")</f>
        <v/>
      </c>
      <c r="B26" s="2" t="inlineStr">
        <is>
          <t>Burger King</t>
        </is>
      </c>
      <c r="C26" s="2" t="inlineStr">
        <is>
          <t>Part-time / CDI</t>
        </is>
      </c>
      <c r="D26" s="2" t="inlineStr">
        <is>
          <t>Paris / Greater Paris</t>
        </is>
      </c>
      <c r="E26" s="2" t="inlineStr">
        <is>
          <t>Not specified</t>
        </is>
      </c>
      <c r="F26" s="2" t="inlineStr">
        <is>
          <t>Food Service / Fast Food (QSR)</t>
        </is>
      </c>
      <c r="G26" s="2" t="inlineStr">
        <is>
          <t>Équipier•ère</t>
        </is>
      </c>
      <c r="H26" s="2" t="inlineStr">
        <is>
          <t>Paris 18e (Barbès) : 3 Boulevard Barbès, 75018 Paris</t>
        </is>
      </c>
      <c r="I26" s="2" t="inlineStr">
        <is>
          <t>🟡 Company recruits part-time; exact current location not verified</t>
        </is>
      </c>
      <c r="J26" s="2" t="inlineStr">
        <is>
          <t>https://emploi.burgerking.fr/nos-metiers/equipier/</t>
        </is>
      </c>
      <c r="K26" s="2" t="inlineStr">
        <is>
          <t>https://emploi.burgerking.fr/</t>
        </is>
      </c>
      <c r="L26" s="2" t="inlineStr">
        <is>
          <t>Favicon / company logo</t>
        </is>
      </c>
      <c r="M26" s="5" t="n">
        <v>46255</v>
      </c>
      <c r="N26" s="2" t="inlineStr">
        <is>
          <t>French: French likely for customer service | English: Not specified | Student friendly: Yes | Embedded brand mark. Re-check the live job page before applying; vacancies can close or change.</t>
        </is>
      </c>
    </row>
    <row r="27" ht="43.2" customHeight="1">
      <c r="A27">
        <f>_xlfn.IMAGE("https://www.google.com/s2/favicons?domain=emploi.burgerking.fr&amp;sz=128","Burger King favicon")</f>
        <v/>
      </c>
      <c r="B27" s="2" t="inlineStr">
        <is>
          <t>Burger King</t>
        </is>
      </c>
      <c r="C27" s="2" t="inlineStr">
        <is>
          <t>Part-time / CDI</t>
        </is>
      </c>
      <c r="D27" s="2" t="inlineStr">
        <is>
          <t>Paris / Greater Paris</t>
        </is>
      </c>
      <c r="E27" s="2" t="inlineStr">
        <is>
          <t>Not specified</t>
        </is>
      </c>
      <c r="F27" s="2" t="inlineStr">
        <is>
          <t>Food Service / Fast Food (QSR)</t>
        </is>
      </c>
      <c r="G27" s="2" t="inlineStr">
        <is>
          <t>Équipier•ère</t>
        </is>
      </c>
      <c r="H27" s="2" t="inlineStr">
        <is>
          <t>Paris 1st arrondissement (Les Halles) : 2 Rue Pierre Lescot, 75001 Paris</t>
        </is>
      </c>
      <c r="I27" s="2" t="inlineStr">
        <is>
          <t>🟡 Company recruits part-time; exact current location not verified</t>
        </is>
      </c>
      <c r="J27" s="2" t="inlineStr">
        <is>
          <t>https://emploi.burgerking.fr/nos-metiers/equipier/</t>
        </is>
      </c>
      <c r="K27" s="2" t="inlineStr">
        <is>
          <t>https://emploi.burgerking.fr/</t>
        </is>
      </c>
      <c r="L27" s="2" t="inlineStr">
        <is>
          <t>Favicon / company logo</t>
        </is>
      </c>
      <c r="M27" s="5" t="n">
        <v>46255</v>
      </c>
      <c r="N27" s="2" t="inlineStr">
        <is>
          <t>French: French likely for customer service | English: Not specified | Student friendly: Yes | Embedded brand mark. Re-check the live job page before applying; vacancies can close or change.</t>
        </is>
      </c>
    </row>
    <row r="28" ht="43.2" customHeight="1">
      <c r="A28">
        <f>_xlfn.IMAGE("https://www.google.com/s2/favicons?domain=emploi.burgerking.fr&amp;sz=128","Burger King favicon")</f>
        <v/>
      </c>
      <c r="B28" s="2" t="inlineStr">
        <is>
          <t>Burger King</t>
        </is>
      </c>
      <c r="C28" s="2" t="inlineStr">
        <is>
          <t>Part-time / CDI</t>
        </is>
      </c>
      <c r="D28" s="2" t="inlineStr">
        <is>
          <t>Paris / Greater Paris</t>
        </is>
      </c>
      <c r="E28" s="2" t="inlineStr">
        <is>
          <t>Not specified</t>
        </is>
      </c>
      <c r="F28" s="2" t="inlineStr">
        <is>
          <t>Food Service / Fast Food (QSR)</t>
        </is>
      </c>
      <c r="G28" s="2" t="inlineStr">
        <is>
          <t>Équipier•ère</t>
        </is>
      </c>
      <c r="H28" s="2" t="inlineStr">
        <is>
          <t>Paris 3rd arrondissement (République) : 23 Place de la République, 75003 Paris</t>
        </is>
      </c>
      <c r="I28" s="2" t="inlineStr">
        <is>
          <t>🟡 Company recruits part-time; exact current location not verified</t>
        </is>
      </c>
      <c r="J28" s="2" t="inlineStr">
        <is>
          <t>https://emploi.burgerking.fr/nos-metiers/equipier/</t>
        </is>
      </c>
      <c r="K28" s="2" t="inlineStr">
        <is>
          <t>https://emploi.burgerking.fr/</t>
        </is>
      </c>
      <c r="L28" s="2" t="inlineStr">
        <is>
          <t>Favicon / company logo</t>
        </is>
      </c>
      <c r="M28" s="5" t="n">
        <v>46255</v>
      </c>
      <c r="N28" s="2" t="inlineStr">
        <is>
          <t>French: French likely for customer service | English: Not specified | Student friendly: Yes | Embedded brand mark. Re-check the live job page before applying; vacancies can close or change.</t>
        </is>
      </c>
    </row>
    <row r="29" ht="43.2" customHeight="1">
      <c r="A29">
        <f>_xlfn.IMAGE("https://www.google.com/s2/favicons?domain=emploi.burgerking.fr&amp;sz=128","Burger King favicon")</f>
        <v/>
      </c>
      <c r="B29" s="2" t="inlineStr">
        <is>
          <t>Burger King</t>
        </is>
      </c>
      <c r="C29" s="2" t="inlineStr">
        <is>
          <t>Part-time / CDI</t>
        </is>
      </c>
      <c r="D29" s="2" t="inlineStr">
        <is>
          <t>Paris / Greater Paris</t>
        </is>
      </c>
      <c r="E29" s="2" t="inlineStr">
        <is>
          <t>Not specified</t>
        </is>
      </c>
      <c r="F29" s="2" t="inlineStr">
        <is>
          <t>Food Service / Fast Food (QSR)</t>
        </is>
      </c>
      <c r="G29" s="2" t="inlineStr">
        <is>
          <t>Équipier•ère</t>
        </is>
      </c>
      <c r="H29" s="2" t="inlineStr">
        <is>
          <t>Paris 5e (Saint-Michel) : 63 Boulevard Saint-Michel, 75005 Paris</t>
        </is>
      </c>
      <c r="I29" s="2" t="inlineStr">
        <is>
          <t>🟡 Company recruits part-time; exact current location not verified</t>
        </is>
      </c>
      <c r="J29" s="2" t="inlineStr">
        <is>
          <t>https://emploi.burgerking.fr/nos-metiers/equipier/</t>
        </is>
      </c>
      <c r="K29" s="2" t="inlineStr">
        <is>
          <t>https://emploi.burgerking.fr/</t>
        </is>
      </c>
      <c r="L29" s="2" t="inlineStr">
        <is>
          <t>Favicon / company logo</t>
        </is>
      </c>
      <c r="M29" s="5" t="n">
        <v>46255</v>
      </c>
      <c r="N29" s="2" t="inlineStr">
        <is>
          <t>French: French likely for customer service | English: Not specified | Student friendly: Yes | Embedded brand mark. Re-check the live job page before applying; vacancies can close or change.</t>
        </is>
      </c>
    </row>
    <row r="30" ht="43.2" customHeight="1">
      <c r="A30">
        <f>_xlfn.IMAGE("https://www.google.com/s2/favicons?domain=emploi.burgerking.fr&amp;sz=128","Burger King favicon")</f>
        <v/>
      </c>
      <c r="B30" s="2" t="inlineStr">
        <is>
          <t>Burger King</t>
        </is>
      </c>
      <c r="C30" s="2" t="inlineStr">
        <is>
          <t>Part-time / CDI</t>
        </is>
      </c>
      <c r="D30" s="2" t="inlineStr">
        <is>
          <t>Paris / Greater Paris</t>
        </is>
      </c>
      <c r="E30" s="2" t="inlineStr">
        <is>
          <t>Not specified</t>
        </is>
      </c>
      <c r="F30" s="2" t="inlineStr">
        <is>
          <t>Food Service / Fast Food (QSR)</t>
        </is>
      </c>
      <c r="G30" s="2" t="inlineStr">
        <is>
          <t>Équipier•ère</t>
        </is>
      </c>
      <c r="H30" s="2" t="inlineStr">
        <is>
          <t>Paris 8th arrondissement (Champs-Élysées) : 124 Rue La Boétie, 75008 Paris</t>
        </is>
      </c>
      <c r="I30" s="2" t="inlineStr">
        <is>
          <t>🟡 Company recruits part-time; exact current location not verified</t>
        </is>
      </c>
      <c r="J30" s="2" t="inlineStr">
        <is>
          <t>https://emploi.burgerking.fr/nos-metiers/equipier/</t>
        </is>
      </c>
      <c r="K30" s="2" t="inlineStr">
        <is>
          <t>https://emploi.burgerking.fr/</t>
        </is>
      </c>
      <c r="L30" s="2" t="inlineStr">
        <is>
          <t>Favicon / company logo</t>
        </is>
      </c>
      <c r="M30" s="5" t="n">
        <v>46255</v>
      </c>
      <c r="N30" s="2" t="inlineStr">
        <is>
          <t>French: French likely for customer service | English: Not specified | Student friendly: Yes | Embedded brand mark. Re-check the live job page before applying; vacancies can close or change.</t>
        </is>
      </c>
    </row>
    <row r="31" ht="43.2" customHeight="1">
      <c r="A31">
        <f>_xlfn.IMAGE("https://www.google.com/s2/favicons?domain=emploi.burgerking.fr&amp;sz=128","Burger King favicon")</f>
        <v/>
      </c>
      <c r="B31" s="2" t="inlineStr">
        <is>
          <t>Burger King</t>
        </is>
      </c>
      <c r="C31" s="2" t="inlineStr">
        <is>
          <t>Part-time / CDI</t>
        </is>
      </c>
      <c r="D31" s="2" t="inlineStr">
        <is>
          <t>Paris / Greater Paris</t>
        </is>
      </c>
      <c r="E31" s="2" t="inlineStr">
        <is>
          <t>Not specified</t>
        </is>
      </c>
      <c r="F31" s="2" t="inlineStr">
        <is>
          <t>Food Service / Fast Food (QSR)</t>
        </is>
      </c>
      <c r="G31" s="2" t="inlineStr">
        <is>
          <t>Équipier•ère</t>
        </is>
      </c>
      <c r="H31" s="2" t="inlineStr">
        <is>
          <t>Paris 9th arrondissement (Opéra) : 36 Boulevard des Italiens, 75009 Paris</t>
        </is>
      </c>
      <c r="I31" s="2" t="inlineStr">
        <is>
          <t>🟡 Company recruits part-time; exact current location not verified</t>
        </is>
      </c>
      <c r="J31" s="2" t="inlineStr">
        <is>
          <t>https://emploi.burgerking.fr/nos-metiers/equipier/</t>
        </is>
      </c>
      <c r="K31" s="2" t="inlineStr">
        <is>
          <t>https://emploi.burgerking.fr/</t>
        </is>
      </c>
      <c r="L31" s="2" t="inlineStr">
        <is>
          <t>Favicon / company logo</t>
        </is>
      </c>
      <c r="M31" s="5" t="n">
        <v>46255</v>
      </c>
      <c r="N31" s="2" t="inlineStr">
        <is>
          <t>French: French likely for customer service | English: Not specified | Student friendly: Yes | Embedded brand mark. Re-check the live job page before applying; vacancies can close or change.</t>
        </is>
      </c>
    </row>
    <row r="32" ht="43.2" customHeight="1">
      <c r="A32">
        <f>_xlfn.IMAGE("https://www.google.com/s2/favicons?domain=emploi.burgerking.fr&amp;sz=128","Burger King favicon")</f>
        <v/>
      </c>
      <c r="B32" s="2" t="inlineStr">
        <is>
          <t>Burger King</t>
        </is>
      </c>
      <c r="C32" s="2" t="inlineStr">
        <is>
          <t>Part-time / CDI</t>
        </is>
      </c>
      <c r="D32" s="2" t="inlineStr">
        <is>
          <t>Paris / Greater Paris</t>
        </is>
      </c>
      <c r="E32" s="2" t="inlineStr">
        <is>
          <t>Not specified</t>
        </is>
      </c>
      <c r="F32" s="2" t="inlineStr">
        <is>
          <t>Food Service / Fast Food (QSR)</t>
        </is>
      </c>
      <c r="G32" s="2" t="inlineStr">
        <is>
          <t>Équipier•ère</t>
        </is>
      </c>
      <c r="H32" s="2" t="inlineStr">
        <is>
          <t>Paris 9th arrondissement (Saint-Lazare Station) : Station exterior, 2 Rue d'Amsterdam, 75009 Paris</t>
        </is>
      </c>
      <c r="I32" s="2" t="inlineStr">
        <is>
          <t>🟡 Company recruits part-time; exact current location not verified</t>
        </is>
      </c>
      <c r="J32" s="2" t="inlineStr">
        <is>
          <t>https://emploi.burgerking.fr/nos-metiers/equipier/</t>
        </is>
      </c>
      <c r="K32" s="2" t="inlineStr">
        <is>
          <t>https://emploi.burgerking.fr/</t>
        </is>
      </c>
      <c r="L32" s="2" t="inlineStr">
        <is>
          <t>Favicon / company logo</t>
        </is>
      </c>
      <c r="M32" s="5" t="n">
        <v>46255</v>
      </c>
      <c r="N32" s="2" t="inlineStr">
        <is>
          <t>French: French likely for customer service | English: Not specified | Student friendly: Yes | Embedded brand mark. Re-check the live job page before applying; vacancies can close or change.</t>
        </is>
      </c>
    </row>
    <row r="33" ht="57.6" customHeight="1">
      <c r="A33" t="e">
        <v>#VALUE!</v>
      </c>
      <c r="B33" s="2" t="inlineStr">
        <is>
          <t>KFC</t>
        </is>
      </c>
      <c r="C33" s="2" t="inlineStr">
        <is>
          <t>Part-time / CDI</t>
        </is>
      </c>
      <c r="D33" s="2" t="inlineStr">
        <is>
          <t>Paris / Greater Paris</t>
        </is>
      </c>
      <c r="E33" s="2" t="inlineStr">
        <is>
          <t>Not specified</t>
        </is>
      </c>
      <c r="F33" s="2" t="inlineStr">
        <is>
          <t>Food Service / Fast Food (QSR)</t>
        </is>
      </c>
      <c r="G33" s="2" t="inlineStr">
        <is>
          <t>Equipier Polyvalent</t>
        </is>
      </c>
      <c r="H33" s="2" t="inlineStr">
        <is>
          <t>102 Terrasse Boieldieu, 92800 Puteaux, France</t>
        </is>
      </c>
      <c r="I33" s="2" t="inlineStr">
        <is>
          <t>🟢 Currently hiring</t>
        </is>
      </c>
      <c r="J33" s="2" t="inlineStr">
        <is>
          <t>https://fr.indeed.com/q-kfc-le-week-end-l-paris-%2875%29-emplois.html</t>
        </is>
      </c>
      <c r="K33" s="2" t="inlineStr">
        <is>
          <t>https://www.kfc.fr/</t>
        </is>
      </c>
      <c r="L33" s="2" t="inlineStr">
        <is>
          <t>Favicon / company logo</t>
        </is>
      </c>
      <c r="M33" s="5" t="n">
        <v>46255</v>
      </c>
      <c r="N33" s="2" t="inlineStr">
        <is>
          <t>Location: Puteaux – La Défense. Current/recent listing: CDI, temps partiel, Équipier Polyvalent H/F. French: French likely for customer-facing work | English: Not specified | Student friendly: Yes | Embedded brand mark. Re-check the live job page before applying; vacancies can close or change.</t>
        </is>
      </c>
    </row>
    <row r="34" ht="57.6" customHeight="1">
      <c r="A34" t="e">
        <v>#VALUE!</v>
      </c>
      <c r="B34" s="2" t="inlineStr">
        <is>
          <t>KFC</t>
        </is>
      </c>
      <c r="C34" s="2" t="inlineStr">
        <is>
          <t>Part-time / CDI</t>
        </is>
      </c>
      <c r="D34" s="2" t="inlineStr">
        <is>
          <t>Paris / Greater Paris</t>
        </is>
      </c>
      <c r="E34" s="2" t="inlineStr">
        <is>
          <t>Not specified</t>
        </is>
      </c>
      <c r="F34" s="2" t="inlineStr">
        <is>
          <t>Food Service / Fast Food (QSR)</t>
        </is>
      </c>
      <c r="G34" s="2" t="inlineStr">
        <is>
          <t>Equipier Polyvalent</t>
        </is>
      </c>
      <c r="H34" s="2" t="inlineStr">
        <is>
          <t>117 Rue Saint-Lazare, 75008 Paris, France</t>
        </is>
      </c>
      <c r="I34" s="2" t="inlineStr">
        <is>
          <t>🟢 Currently hiring</t>
        </is>
      </c>
      <c r="J34" s="2" t="inlineStr">
        <is>
          <t>https://fr.indeed.com/q-kfc-%C3%89quipier-polyvalent-l-paris-%2875%29-emplois.html</t>
        </is>
      </c>
      <c r="K34" s="2" t="inlineStr">
        <is>
          <t>https://www.kfc.fr/</t>
        </is>
      </c>
      <c r="L34" s="2" t="inlineStr">
        <is>
          <t>Favicon / company logo</t>
        </is>
      </c>
      <c r="M34" s="5" t="n">
        <v>46255</v>
      </c>
      <c r="N34" s="2" t="inlineStr">
        <is>
          <t>Location: Paris 8e – Saint-Lazare. Current listing: CDI, temps partiel, Employé polyvalent H/F. French: French likely for customer-facing work | English: Not specified | Student friendly: Yes | Embedded brand mark. Re-check the live job page before applying; vacancies can close or change.</t>
        </is>
      </c>
    </row>
    <row r="35" ht="57.6" customHeight="1">
      <c r="A35" t="e">
        <v>#VALUE!</v>
      </c>
      <c r="B35" s="2" t="inlineStr">
        <is>
          <t>KFC</t>
        </is>
      </c>
      <c r="C35" s="2" t="inlineStr">
        <is>
          <t>Part-time / CDI</t>
        </is>
      </c>
      <c r="D35" s="2" t="inlineStr">
        <is>
          <t>Paris / Greater Paris</t>
        </is>
      </c>
      <c r="E35" s="2" t="inlineStr">
        <is>
          <t>Not specified</t>
        </is>
      </c>
      <c r="F35" s="2" t="inlineStr">
        <is>
          <t>Food Service / Fast Food (QSR)</t>
        </is>
      </c>
      <c r="G35" s="2" t="inlineStr">
        <is>
          <t>Equipier Polyvalent</t>
        </is>
      </c>
      <c r="H35" s="2" t="inlineStr">
        <is>
          <t>16 Boulevard de Clichy, 75018 Paris, France</t>
        </is>
      </c>
      <c r="I35" s="2" t="inlineStr">
        <is>
          <t>🟢 Currently hiring</t>
        </is>
      </c>
      <c r="J35" s="2" t="inlineStr">
        <is>
          <t>https://fr.indeed.com/q-kfc-l-paris-9e-%2875%29-emplois.html</t>
        </is>
      </c>
      <c r="K35" s="2" t="inlineStr">
        <is>
          <t>https://www.kfc.fr/</t>
        </is>
      </c>
      <c r="L35" s="2" t="inlineStr">
        <is>
          <t>Favicon / company logo</t>
        </is>
      </c>
      <c r="M35" s="5" t="n">
        <v>46255</v>
      </c>
      <c r="N35" s="2" t="inlineStr">
        <is>
          <t>Location: Paris 18e – Clichy. Current/recent listing: CDI, temps partiel, Employé polyvalent H/F. French: French likely for customer-facing work | English: Not specified | Student friendly: Yes | Embedded brand mark. Re-check the live job page before applying; vacancies can close or change.</t>
        </is>
      </c>
    </row>
    <row r="36" ht="57.6" customHeight="1">
      <c r="A36" t="e">
        <v>#VALUE!</v>
      </c>
      <c r="B36" s="2" t="inlineStr">
        <is>
          <t>KFC</t>
        </is>
      </c>
      <c r="C36" s="2" t="inlineStr">
        <is>
          <t>Part-time / CDI</t>
        </is>
      </c>
      <c r="D36" s="2" t="inlineStr">
        <is>
          <t>Paris / Greater Paris</t>
        </is>
      </c>
      <c r="E36" s="2" t="inlineStr">
        <is>
          <t>Not specified</t>
        </is>
      </c>
      <c r="F36" s="2" t="inlineStr">
        <is>
          <t>Food Service / Fast Food (QSR)</t>
        </is>
      </c>
      <c r="G36" s="2" t="inlineStr">
        <is>
          <t>Equipier Polyvalent</t>
        </is>
      </c>
      <c r="H36" s="2" t="inlineStr">
        <is>
          <t>76 Avenue d'Italie, 75013 Paris, France</t>
        </is>
      </c>
      <c r="I36" s="2" t="inlineStr">
        <is>
          <t>🟢 Currently hiring</t>
        </is>
      </c>
      <c r="J36" s="2" t="inlineStr">
        <is>
          <t>https://fr.indeed.com/emplois?jlid=38ec80440089288&amp;q=equipier+polyvalent+en+temps+partiel+postes&amp;rbl=Paris+%2875%29</t>
        </is>
      </c>
      <c r="K36" s="2" t="inlineStr">
        <is>
          <t>https://www.kfc.fr/</t>
        </is>
      </c>
      <c r="L36" s="2" t="inlineStr">
        <is>
          <t>Favicon / company logo</t>
        </is>
      </c>
      <c r="M36" s="5" t="n">
        <v>46255</v>
      </c>
      <c r="N36" s="2" t="inlineStr">
        <is>
          <t>Location: Paris 13e – Italie. Current listing: CDI, temps partiel, Équipier Polyvalent H/F. French: French likely for customer-facing work | English: Not specified | Student friendly: Yes | Embedded brand mark. Re-check the live job page before applying; vacancies can close or change.</t>
        </is>
      </c>
    </row>
    <row r="37" ht="57.6" customHeight="1">
      <c r="A37" t="e">
        <v>#VALUE!</v>
      </c>
      <c r="B37" s="2" t="inlineStr">
        <is>
          <t>KFC</t>
        </is>
      </c>
      <c r="C37" s="2" t="inlineStr">
        <is>
          <t>Part-time / CDI</t>
        </is>
      </c>
      <c r="D37" s="2" t="inlineStr">
        <is>
          <t>Paris / Greater Paris</t>
        </is>
      </c>
      <c r="E37" s="2" t="inlineStr">
        <is>
          <t>Not specified</t>
        </is>
      </c>
      <c r="F37" s="2" t="inlineStr">
        <is>
          <t>Food Service / Fast Food (QSR)</t>
        </is>
      </c>
      <c r="G37" s="2" t="inlineStr">
        <is>
          <t>Equipier Polyvalent</t>
        </is>
      </c>
      <c r="H37" s="2" t="inlineStr">
        <is>
          <t>94000 Créteil, France</t>
        </is>
      </c>
      <c r="I37" s="2" t="inlineStr">
        <is>
          <t>🟢 Currently hiring</t>
        </is>
      </c>
      <c r="J37" s="2" t="inlineStr">
        <is>
          <t>https://fr.indeed.com/q-kfc-%C3%89quipier-polyvalent-l-paris-%2875%29-emplois.html</t>
        </is>
      </c>
      <c r="K37" s="2" t="inlineStr">
        <is>
          <t>https://www.kfc.fr/</t>
        </is>
      </c>
      <c r="L37" s="2" t="inlineStr">
        <is>
          <t>Favicon / company logo</t>
        </is>
      </c>
      <c r="M37" s="5" t="n">
        <v>46255</v>
      </c>
      <c r="N37" s="2" t="inlineStr">
        <is>
          <t>Location: Créteil. Current listing: CDI, temps partiel, Équipier Polyvalent H/F; exact street address not exposed in the search result. French: French likely for customer-facing work | English: Not specified | Student friendly: Yes | Embedded brand mark. Re-check the live job page before applying; vacancies can close or change.</t>
        </is>
      </c>
    </row>
    <row r="38" ht="57.6" customHeight="1">
      <c r="A38" t="e">
        <v>#VALUE!</v>
      </c>
      <c r="B38" s="2" t="inlineStr">
        <is>
          <t>KFC</t>
        </is>
      </c>
      <c r="C38" s="2" t="inlineStr">
        <is>
          <t>Part-time / CDI</t>
        </is>
      </c>
      <c r="D38" s="2" t="inlineStr">
        <is>
          <t>Paris / Greater Paris</t>
        </is>
      </c>
      <c r="E38" s="2" t="inlineStr">
        <is>
          <t>Not specified</t>
        </is>
      </c>
      <c r="F38" s="2" t="inlineStr">
        <is>
          <t>Food Service / Fast Food (QSR)</t>
        </is>
      </c>
      <c r="G38" s="2" t="inlineStr">
        <is>
          <t>Equipier Polyvalent</t>
        </is>
      </c>
      <c r="H38" s="2" t="inlineStr">
        <is>
          <t>94120 Fontenay-sous-Bois, France</t>
        </is>
      </c>
      <c r="I38" s="2" t="inlineStr">
        <is>
          <t>🟢 Currently hiring</t>
        </is>
      </c>
      <c r="J38" s="2" t="inlineStr">
        <is>
          <t>https://fr.indeed.com/q-kfc-%C3%89quipier-polyvalent-l-paris-%2875%29-emplois.html</t>
        </is>
      </c>
      <c r="K38" s="2" t="inlineStr">
        <is>
          <t>https://www.kfc.fr/</t>
        </is>
      </c>
      <c r="L38" s="2" t="inlineStr">
        <is>
          <t>Favicon / company logo</t>
        </is>
      </c>
      <c r="M38" s="5" t="n">
        <v>46255</v>
      </c>
      <c r="N38" s="2" t="inlineStr">
        <is>
          <t>Location: Fontenay-sous-Bois. Current listing: CDI, temps partiel, Employé polyvalent H/F; exact street address not exposed in the search result. French: French likely for customer-facing work | English: Not specified | Student friendly: Yes | Embedded brand mark. Re-check the live job page before applying; vacancies can close or change.</t>
        </is>
      </c>
    </row>
    <row r="39" ht="57.6" customHeight="1">
      <c r="A39">
        <f>_xlfn.IMAGE("https://www.google.com/s2/favicons?domain=joinus.decathlon.fr&amp;sz=128","Decathlon favicon")</f>
        <v/>
      </c>
      <c r="B39" s="2" t="inlineStr">
        <is>
          <t>Decathlon</t>
        </is>
      </c>
      <c r="C39" s="2" t="inlineStr">
        <is>
          <t>Part-time / CDI</t>
        </is>
      </c>
      <c r="D39" s="2" t="inlineStr">
        <is>
          <t>Paris 13e / 15e / 19e</t>
        </is>
      </c>
      <c r="E39" s="2" t="inlineStr">
        <is>
          <t>Not specified</t>
        </is>
      </c>
      <c r="F39" s="2" t="inlineStr">
        <is>
          <t>Specialized Retail (Sporting Goods)</t>
        </is>
      </c>
      <c r="G39" s="2" t="inlineStr">
        <is>
          <t>Sales / Customer Service Advisor</t>
        </is>
      </c>
      <c r="H39" s="2" t="inlineStr">
        <is>
          <t>203 Boulevard Macdonald, 75019 Paris, France</t>
        </is>
      </c>
      <c r="I39" s="2" t="inlineStr">
        <is>
          <t>🟢 Currently hiring</t>
        </is>
      </c>
      <c r="J39" s="2" t="inlineStr">
        <is>
          <t>https://joinus.decathlon.fr/fr/annonce/3247217-vendeur-se-cdi-temps-partiel-a-partir-de-septembre-75019-paris?s_o=wttj</t>
        </is>
      </c>
      <c r="K39" s="2" t="inlineStr">
        <is>
          <t>https://joinus.decathlon.fr/</t>
        </is>
      </c>
      <c r="L39" s="2" t="inlineStr">
        <is>
          <t>Favicon / company logo</t>
        </is>
      </c>
      <c r="M39" s="5" t="n">
        <v>46255</v>
      </c>
      <c r="N39" s="2" t="inlineStr">
        <is>
          <t>Location: Rosa Parks. Current official Decathlon listing: vendeur.se CDI temps partiel from September; published 08/08/2026. French: French likely for store customer service | English: Not specified | Student friendly: Yes | Embedded brand mark. Re-check the live job page before applying; vacancies can close or change.</t>
        </is>
      </c>
    </row>
    <row r="40" ht="57.6" customHeight="1">
      <c r="A40">
        <f>_xlfn.IMAGE("https://www.google.com/s2/favicons?domain=joinus.decathlon.fr&amp;sz=128","Decathlon favicon")</f>
        <v/>
      </c>
      <c r="B40" s="2" t="inlineStr">
        <is>
          <t>Decathlon</t>
        </is>
      </c>
      <c r="C40" s="2" t="inlineStr">
        <is>
          <t>Part-time / CDI</t>
        </is>
      </c>
      <c r="D40" s="2" t="inlineStr">
        <is>
          <t>Paris 13e / 15e / 19e</t>
        </is>
      </c>
      <c r="E40" s="2" t="inlineStr">
        <is>
          <t>Not specified</t>
        </is>
      </c>
      <c r="F40" s="2" t="inlineStr">
        <is>
          <t>Specialized Retail (Sporting Goods)</t>
        </is>
      </c>
      <c r="G40" s="2" t="inlineStr">
        <is>
          <t>Sales / Customer Service Advisor</t>
        </is>
      </c>
      <c r="H40" s="2" t="inlineStr">
        <is>
          <t>4–6 Rue Louis Armand, 75015 Paris, France</t>
        </is>
      </c>
      <c r="I40" s="2" t="inlineStr">
        <is>
          <t>🟢 Currently hiring</t>
        </is>
      </c>
      <c r="J40" s="2" t="inlineStr">
        <is>
          <t>https://joinus.decathlon.fr/en/annonce/4547765-conseiller-ere-vente-omnicanal-hf-cdi-temps-partiel-75015-paris-15e-arrondissement</t>
        </is>
      </c>
      <c r="K40" s="2" t="inlineStr">
        <is>
          <t>https://joinus.decathlon.fr/</t>
        </is>
      </c>
      <c r="L40" s="2" t="inlineStr">
        <is>
          <t>Favicon / company logo</t>
        </is>
      </c>
      <c r="M40" s="5" t="n">
        <v>46255</v>
      </c>
      <c r="N40" s="2" t="inlineStr">
        <is>
          <t>Location: Aquaboulevard. Current official Decathlon listing: CDI, temps partiel; published 14/08/2026. French: French likely for store customer service | English: Not specified | Student friendly: Yes | Embedded brand mark. Re-check the live job page before applying; vacancies can close or change.</t>
        </is>
      </c>
    </row>
    <row r="41" ht="43.2" customHeight="1">
      <c r="A41">
        <f>_xlfn.IMAGE("https://www.google.com/s2/favicons?domain=recrutement.monoprix.fr&amp;sz=128","Monoprix favicon")</f>
        <v/>
      </c>
      <c r="B41" s="2" t="inlineStr">
        <is>
          <t>Monoprix</t>
        </is>
      </c>
      <c r="C41" s="2" t="inlineStr">
        <is>
          <t>Part-time / CDI</t>
        </is>
      </c>
      <c r="D41" s="2" t="inlineStr">
        <is>
          <t>Paris 4e / 9e</t>
        </is>
      </c>
      <c r="E41" s="2" t="inlineStr">
        <is>
          <t>Not specified</t>
        </is>
      </c>
      <c r="F41" s="2" t="inlineStr">
        <is>
          <t>Grocery Retail / Supermarkets</t>
        </is>
      </c>
      <c r="G41" s="2" t="inlineStr">
        <is>
          <t>Student part-time cashier / store employee</t>
        </is>
      </c>
      <c r="H41" s="2" t="inlineStr">
        <is>
          <t>71 Rue Saint-Antoine, 75004 Paris, France</t>
        </is>
      </c>
      <c r="I41" s="2" t="inlineStr">
        <is>
          <t>🟢 Current hiring signal found</t>
        </is>
      </c>
      <c r="J41" s="2" t="inlineStr">
        <is>
          <t>https://fr.indeed.com/viewjob?jk=4a9bcf51dc510310</t>
        </is>
      </c>
      <c r="K41" s="2" t="inlineStr">
        <is>
          <t>https://recrutement.monoprix.fr/</t>
        </is>
      </c>
      <c r="L41" s="2" t="inlineStr">
        <is>
          <t>Favicon / company logo</t>
        </is>
      </c>
      <c r="M41" s="5" t="n">
        <v>46255</v>
      </c>
      <c r="N41" s="2" t="inlineStr">
        <is>
          <t>French: French likely for customer service | English: Not specified | Student friendly: Yes | Embedded brand mark. Re-check the live job page before applying; vacancies can close or change.</t>
        </is>
      </c>
    </row>
    <row r="42" ht="57.6" customHeight="1">
      <c r="A42">
        <f>_xlfn.IMAGE("https://www.google.com/s2/favicons?domain=recrute.carrefour.fr&amp;sz=128","Carrefour favicon")</f>
        <v/>
      </c>
      <c r="B42" s="2" t="inlineStr">
        <is>
          <t>Carrefour</t>
        </is>
      </c>
      <c r="C42" s="2" t="inlineStr">
        <is>
          <t>Part-time / CDI</t>
        </is>
      </c>
      <c r="D42" s="2" t="inlineStr">
        <is>
          <t>Paris / Greater Paris</t>
        </is>
      </c>
      <c r="E42" s="2" t="inlineStr">
        <is>
          <t>Not specified</t>
        </is>
      </c>
      <c r="F42" s="2" t="inlineStr">
        <is>
          <t>Grocery Retail / Supermarkets</t>
        </is>
      </c>
      <c r="G42" s="2" t="inlineStr">
        <is>
          <t>Student commercial employee / cashier</t>
        </is>
      </c>
      <c r="H42" s="2" t="inlineStr">
        <is>
          <t>13 Résidence Martinval, 78240 Chambourcy, France</t>
        </is>
      </c>
      <c r="I42" s="2" t="inlineStr">
        <is>
          <t>🟢 Currently hiring</t>
        </is>
      </c>
      <c r="J42" s="2" t="inlineStr">
        <is>
          <t>https://fr.indeed.com/q-carrefour-job-%C3%89tudiant-l-paris-%2875%29-emplois.html</t>
        </is>
      </c>
      <c r="K42" s="2" t="inlineStr">
        <is>
          <t>https://recrute.carrefour.fr/</t>
        </is>
      </c>
      <c r="L42" s="2" t="inlineStr">
        <is>
          <t>Favicon / company logo</t>
        </is>
      </c>
      <c r="M42" s="5" t="n">
        <v>46255</v>
      </c>
      <c r="N42" s="2" t="inlineStr">
        <is>
          <t>Location: Chambourcy. Current listing: Employé commercial caisse, ideal student, CDI temps partiel. French: French likely | English: Not specified | Student friendly: Yes | Embedded brand mark. Re-check the live job page before applying; vacancies can close or change.</t>
        </is>
      </c>
    </row>
    <row r="43" ht="57.6" customHeight="1">
      <c r="A43">
        <f>_xlfn.IMAGE("https://www.google.com/s2/favicons?domain=recrute.carrefour.fr&amp;sz=128","Carrefour favicon")</f>
        <v/>
      </c>
      <c r="B43" s="2" t="inlineStr">
        <is>
          <t>Carrefour</t>
        </is>
      </c>
      <c r="C43" s="2" t="inlineStr">
        <is>
          <t>Part-time / CDI</t>
        </is>
      </c>
      <c r="D43" s="2" t="inlineStr">
        <is>
          <t>Paris / Greater Paris</t>
        </is>
      </c>
      <c r="E43" s="2" t="inlineStr">
        <is>
          <t>Not specified</t>
        </is>
      </c>
      <c r="F43" s="2" t="inlineStr">
        <is>
          <t>Grocery Retail / Supermarkets</t>
        </is>
      </c>
      <c r="G43" s="2" t="inlineStr">
        <is>
          <t>Student commercial employee / cashier</t>
        </is>
      </c>
      <c r="H43" s="2" t="inlineStr">
        <is>
          <t>280 Avenue Gabriel Péri, 78360 Montesson, France</t>
        </is>
      </c>
      <c r="I43" s="2" t="inlineStr">
        <is>
          <t>🟢 Currently hiring</t>
        </is>
      </c>
      <c r="J43" s="2" t="inlineStr">
        <is>
          <t>https://fr.indeed.com/q-carrefour-temps-partiel-l-paris-%2875%29-emplois.html</t>
        </is>
      </c>
      <c r="K43" s="2" t="inlineStr">
        <is>
          <t>https://recrute.carrefour.fr/</t>
        </is>
      </c>
      <c r="L43" s="2" t="inlineStr">
        <is>
          <t>Favicon / company logo</t>
        </is>
      </c>
      <c r="M43" s="5" t="n">
        <v>46255</v>
      </c>
      <c r="N43" s="2" t="inlineStr">
        <is>
          <t>Location: Montesson. Current listing: Employé commercial produits frais, ideal student, CDI temps partiel. French: French likely | English: Not specified | Student friendly: Yes | Embedded brand mark. Re-check the live job page before applying; vacancies can close or change.</t>
        </is>
      </c>
    </row>
    <row r="44" ht="57.6" customHeight="1">
      <c r="A44">
        <f>_xlfn.IMAGE("https://www.google.com/s2/favicons?domain=recrute.carrefour.fr&amp;sz=128","Carrefour favicon")</f>
        <v/>
      </c>
      <c r="B44" s="2" t="inlineStr">
        <is>
          <t>Carrefour</t>
        </is>
      </c>
      <c r="C44" s="2" t="inlineStr">
        <is>
          <t>Part-time / CDI</t>
        </is>
      </c>
      <c r="D44" s="2" t="inlineStr">
        <is>
          <t>Paris / Greater Paris</t>
        </is>
      </c>
      <c r="E44" s="2" t="inlineStr">
        <is>
          <t>Not specified</t>
        </is>
      </c>
      <c r="F44" s="2" t="inlineStr">
        <is>
          <t>Grocery Retail / Supermarkets</t>
        </is>
      </c>
      <c r="G44" s="2" t="inlineStr">
        <is>
          <t>Student commercial employee / cashier</t>
        </is>
      </c>
      <c r="H44" s="2" t="inlineStr">
        <is>
          <t>75004 Paris, France — exact street address not exposed in current listing</t>
        </is>
      </c>
      <c r="I44" s="2" t="inlineStr">
        <is>
          <t>🟢 Currently hiring</t>
        </is>
      </c>
      <c r="J44" s="2" t="inlineStr">
        <is>
          <t>https://fr.indeed.com/viewjob?jk=a8a19fc23ace8b18</t>
        </is>
      </c>
      <c r="K44" s="2" t="inlineStr">
        <is>
          <t>https://recrute.carrefour.fr/</t>
        </is>
      </c>
      <c r="L44" s="2" t="inlineStr">
        <is>
          <t>Favicon / company logo</t>
        </is>
      </c>
      <c r="M44" s="5" t="n">
        <v>46255</v>
      </c>
      <c r="N44" s="2" t="inlineStr">
        <is>
          <t>Location: Paris 4e – Carrefour Express. Current listing: student-only Employé Polyvalent, CDI temps partiel. French: French likely | English: Not specified | Student friendly: Yes | Embedded brand mark. Re-check the live job page before applying; vacancies can close or change.</t>
        </is>
      </c>
    </row>
    <row r="45" ht="43.2" customHeight="1">
      <c r="A45">
        <f>_xlfn.IMAGE("https://www.google.com/s2/favicons?domain=recrute.carrefour.fr&amp;sz=128","Carrefour favicon")</f>
        <v/>
      </c>
      <c r="B45" s="2" t="inlineStr">
        <is>
          <t>Carrefour</t>
        </is>
      </c>
      <c r="C45" s="2" t="inlineStr">
        <is>
          <t>Part-time / CDI</t>
        </is>
      </c>
      <c r="D45" s="2" t="inlineStr">
        <is>
          <t>Paris / Greater Paris</t>
        </is>
      </c>
      <c r="E45" s="2" t="inlineStr">
        <is>
          <t>Not specified</t>
        </is>
      </c>
      <c r="F45" s="2" t="inlineStr">
        <is>
          <t>Grocery Retail / Supermarkets</t>
        </is>
      </c>
      <c r="G45" s="2" t="inlineStr">
        <is>
          <t>Student commercial employee / cashier</t>
        </is>
      </c>
      <c r="H45" s="2" t="inlineStr">
        <is>
          <t>75006 Paris, France — exact street address not exposed in current listing</t>
        </is>
      </c>
      <c r="I45" s="2" t="inlineStr">
        <is>
          <t>🟢 Currently hiring</t>
        </is>
      </c>
      <c r="J45" s="2" t="inlineStr">
        <is>
          <t>https://fr.indeed.com/q-carrefour-%C3%89tudiant-l-cr%C3%A9teil-%2894%29-emplois.html</t>
        </is>
      </c>
      <c r="K45" s="2" t="inlineStr">
        <is>
          <t>https://recrute.carrefour.fr/</t>
        </is>
      </c>
      <c r="L45" s="2" t="inlineStr">
        <is>
          <t>Favicon / company logo</t>
        </is>
      </c>
      <c r="M45" s="5" t="n">
        <v>46255</v>
      </c>
      <c r="N45" s="2" t="inlineStr">
        <is>
          <t>Location: Paris 6e. Current listing: Employé commercial caisse, ideal student, CDI temps partiel. French: French likely | English: Not specified | Student friendly: Yes | Embedded brand mark. Re-check the live job page before applying; vacancies can close or change.</t>
        </is>
      </c>
    </row>
    <row r="46" ht="57.6" customHeight="1">
      <c r="A46">
        <f>_xlfn.IMAGE("https://www.google.com/s2/favicons?domain=recrute.carrefour.fr&amp;sz=128","Carrefour favicon")</f>
        <v/>
      </c>
      <c r="B46" s="2" t="inlineStr">
        <is>
          <t>Carrefour</t>
        </is>
      </c>
      <c r="C46" s="2" t="inlineStr">
        <is>
          <t>Part-time / CDI</t>
        </is>
      </c>
      <c r="D46" s="2" t="inlineStr">
        <is>
          <t>Paris / Greater Paris</t>
        </is>
      </c>
      <c r="E46" s="2" t="inlineStr">
        <is>
          <t>Not specified</t>
        </is>
      </c>
      <c r="F46" s="2" t="inlineStr">
        <is>
          <t>Grocery Retail / Supermarkets</t>
        </is>
      </c>
      <c r="G46" s="2" t="inlineStr">
        <is>
          <t>Student commercial employee / cashier</t>
        </is>
      </c>
      <c r="H46" s="2" t="inlineStr">
        <is>
          <t>85 Route de Provins, 94490 Ormesson-sur-Marne, France</t>
        </is>
      </c>
      <c r="I46" s="2" t="inlineStr">
        <is>
          <t>🟢 Currently hiring</t>
        </is>
      </c>
      <c r="J46" s="2" t="inlineStr">
        <is>
          <t>https://fr.indeed.com/q-%C3%89tudiant-carrefour-l-paris-%2875%29-emplois.html</t>
        </is>
      </c>
      <c r="K46" s="2" t="inlineStr">
        <is>
          <t>https://recrute.carrefour.fr/</t>
        </is>
      </c>
      <c r="L46" s="2" t="inlineStr">
        <is>
          <t>Favicon / company logo</t>
        </is>
      </c>
      <c r="M46" s="5" t="n">
        <v>46255</v>
      </c>
      <c r="N46" s="2" t="inlineStr">
        <is>
          <t>Location: Ormesson-sur-Marne. Current listing: Employé commercial caisse, ideal student, CDI temps partiel. French: French likely | English: Not specified | Student friendly: Yes | Embedded brand mark. Re-check the live job page before applying; vacancies can close or change.</t>
        </is>
      </c>
    </row>
    <row r="47" ht="43.2" customHeight="1">
      <c r="A47">
        <f>_xlfn.IMAGE("https://www.google.com/s2/favicons?domain=recrute.carrefour.fr&amp;sz=128","Carrefour favicon")</f>
        <v/>
      </c>
      <c r="B47" s="2" t="inlineStr">
        <is>
          <t>Carrefour</t>
        </is>
      </c>
      <c r="C47" s="2" t="inlineStr">
        <is>
          <t>Part-time / CDI</t>
        </is>
      </c>
      <c r="D47" s="2" t="inlineStr">
        <is>
          <t>Paris / Greater Paris</t>
        </is>
      </c>
      <c r="E47" s="2" t="inlineStr">
        <is>
          <t>Not specified</t>
        </is>
      </c>
      <c r="F47" s="2" t="inlineStr">
        <is>
          <t>Grocery Retail / Supermarkets</t>
        </is>
      </c>
      <c r="G47" s="2" t="inlineStr">
        <is>
          <t>Student commercial employee / cashier</t>
        </is>
      </c>
      <c r="H47" s="2" t="inlineStr">
        <is>
          <t>Route des Petits Ponts, 93270 Sevran, France</t>
        </is>
      </c>
      <c r="I47" s="2" t="inlineStr">
        <is>
          <t>🟢 Currently hiring</t>
        </is>
      </c>
      <c r="J47" s="2" t="inlineStr">
        <is>
          <t>https://fr.indeed.com/q-carrefour-%C3%89tudiant-l-paris-15e-%2875%29-emplois.html</t>
        </is>
      </c>
      <c r="K47" s="2" t="inlineStr">
        <is>
          <t>https://recrute.carrefour.fr/</t>
        </is>
      </c>
      <c r="L47" s="2" t="inlineStr">
        <is>
          <t>Favicon / company logo</t>
        </is>
      </c>
      <c r="M47" s="5" t="n">
        <v>46255</v>
      </c>
      <c r="N47" s="2" t="inlineStr">
        <is>
          <t>Location: Sevran. Current listing: Employé commercial caisse, ideal student, CDI temps partiel. French: French likely | English: Not specified | Student friendly: Yes | Embedded brand mark. Re-check the live job page before applying; vacancies can close or change.</t>
        </is>
      </c>
    </row>
    <row r="48" ht="28.8" customHeight="1">
      <c r="A48" t="e">
        <v>#VALUE!</v>
      </c>
      <c r="B48" s="2" t="inlineStr">
        <is>
          <t>Franprix</t>
        </is>
      </c>
      <c r="C48" s="2" t="inlineStr">
        <is>
          <t>Part-time / Student</t>
        </is>
      </c>
      <c r="D48" s="2" t="inlineStr">
        <is>
          <t>Paris</t>
        </is>
      </c>
      <c r="E48" s="2" t="inlineStr">
        <is>
          <t>Not specified</t>
        </is>
      </c>
      <c r="F48" s="2" t="inlineStr">
        <is>
          <t>Grocery Retail / Supermarkets</t>
        </is>
      </c>
      <c r="G48" s="2" t="inlineStr">
        <is>
          <t>Store / cashier roles</t>
        </is>
      </c>
      <c r="H48" s="2" t="inlineStr">
        <is>
          <t>Champs-Élysées (8e): 230 Rue du Faubourg Saint-Honoré, 75008 Paris</t>
        </is>
      </c>
      <c r="I48" s="2" t="inlineStr">
        <is>
          <t>🟡 Company recruits part-time; exact current location not verified</t>
        </is>
      </c>
      <c r="J48" s="2" t="inlineStr">
        <is>
          <t>https://fr.indeed.com/Paris-%2875%29-Emplois-Monoprix%2C-Franprix%2C-Carrefour</t>
        </is>
      </c>
      <c r="K48" s="2" t="inlineStr">
        <is>
          <t>https://www.franprix.fr/</t>
        </is>
      </c>
      <c r="L48" s="2" t="inlineStr">
        <is>
          <t>Favicon / company logo</t>
        </is>
      </c>
      <c r="M48" s="5" t="n">
        <v>46255</v>
      </c>
      <c r="N48" s="2" t="inlineStr">
        <is>
          <t>French: French likely | English: Not specified | Student friendly: Yes | Embedded brand mark. Re-check the live job page before applying; vacancies can close or change.</t>
        </is>
      </c>
    </row>
    <row r="49" ht="28.8" customHeight="1">
      <c r="A49" t="e">
        <v>#VALUE!</v>
      </c>
      <c r="B49" s="2" t="inlineStr">
        <is>
          <t>Franprix</t>
        </is>
      </c>
      <c r="C49" s="2" t="inlineStr">
        <is>
          <t>Part-time / Student</t>
        </is>
      </c>
      <c r="D49" s="2" t="inlineStr">
        <is>
          <t>Paris</t>
        </is>
      </c>
      <c r="E49" s="2" t="inlineStr">
        <is>
          <t>Not specified</t>
        </is>
      </c>
      <c r="F49" s="2" t="inlineStr">
        <is>
          <t>Grocery Retail / Supermarkets</t>
        </is>
      </c>
      <c r="G49" s="2" t="inlineStr">
        <is>
          <t>Store / cashier roles</t>
        </is>
      </c>
      <c r="H49" s="2" t="inlineStr">
        <is>
          <t>Marais / Center (4e): 112 Rue Saint-Antoine, 75004 Paris</t>
        </is>
      </c>
      <c r="I49" s="2" t="inlineStr">
        <is>
          <t>🟡 Company recruits part-time; exact current location not verified</t>
        </is>
      </c>
      <c r="J49" s="2" t="inlineStr">
        <is>
          <t>https://fr.indeed.com/Paris-%2875%29-Emplois-Monoprix%2C-Franprix%2C-Carrefour</t>
        </is>
      </c>
      <c r="K49" s="2" t="inlineStr">
        <is>
          <t>https://www.franprix.fr/</t>
        </is>
      </c>
      <c r="L49" s="2" t="inlineStr">
        <is>
          <t>Favicon / company logo</t>
        </is>
      </c>
      <c r="M49" s="5" t="n">
        <v>46255</v>
      </c>
      <c r="N49" s="2" t="inlineStr">
        <is>
          <t>French: French likely | English: Not specified | Student friendly: Yes | Embedded brand mark. Re-check the live job page before applying; vacancies can close or change.</t>
        </is>
      </c>
    </row>
    <row r="50" ht="28.8" customHeight="1">
      <c r="A50" t="e">
        <v>#VALUE!</v>
      </c>
      <c r="B50" s="2" t="inlineStr">
        <is>
          <t>Franprix</t>
        </is>
      </c>
      <c r="C50" s="2" t="inlineStr">
        <is>
          <t>Part-time / Student</t>
        </is>
      </c>
      <c r="D50" s="2" t="inlineStr">
        <is>
          <t>Paris</t>
        </is>
      </c>
      <c r="E50" s="2" t="inlineStr">
        <is>
          <t>Not specified</t>
        </is>
      </c>
      <c r="F50" s="2" t="inlineStr">
        <is>
          <t>Grocery Retail / Supermarkets</t>
        </is>
      </c>
      <c r="G50" s="2" t="inlineStr">
        <is>
          <t>Store / cashier roles</t>
        </is>
      </c>
      <c r="H50" s="2" t="inlineStr">
        <is>
          <t>Latin Quarter (5e): 86 Boulevard Saint-Michel, 75005 Paris</t>
        </is>
      </c>
      <c r="I50" s="2" t="inlineStr">
        <is>
          <t>🟡 Company recruits part-time; exact current location not verified</t>
        </is>
      </c>
      <c r="J50" s="2" t="inlineStr">
        <is>
          <t>https://fr.indeed.com/Paris-%2875%29-Emplois-Monoprix%2C-Franprix%2C-Carrefour</t>
        </is>
      </c>
      <c r="K50" s="2" t="inlineStr">
        <is>
          <t>https://www.franprix.fr/</t>
        </is>
      </c>
      <c r="L50" s="2" t="inlineStr">
        <is>
          <t>Favicon / company logo</t>
        </is>
      </c>
      <c r="M50" s="5" t="n">
        <v>46255</v>
      </c>
      <c r="N50" s="2" t="inlineStr">
        <is>
          <t>French: French likely | English: Not specified | Student friendly: Yes | Embedded brand mark. Re-check the live job page before applying; vacancies can close or change.</t>
        </is>
      </c>
    </row>
    <row r="51" ht="28.8" customHeight="1">
      <c r="A51" t="e">
        <v>#VALUE!</v>
      </c>
      <c r="B51" s="2" t="inlineStr">
        <is>
          <t>Franprix</t>
        </is>
      </c>
      <c r="C51" s="2" t="inlineStr">
        <is>
          <t>Part-time / Student</t>
        </is>
      </c>
      <c r="D51" s="2" t="inlineStr">
        <is>
          <t>Paris</t>
        </is>
      </c>
      <c r="E51" s="2" t="inlineStr">
        <is>
          <t>Not specified</t>
        </is>
      </c>
      <c r="F51" s="2" t="inlineStr">
        <is>
          <t>Grocery Retail / Supermarkets</t>
        </is>
      </c>
      <c r="G51" s="2" t="inlineStr">
        <is>
          <t>Store / cashier roles</t>
        </is>
      </c>
      <c r="H51" s="2" t="inlineStr">
        <is>
          <t>Montparnasse (14e): 24 Rue de l'Arrivée, 75014 Paris</t>
        </is>
      </c>
      <c r="I51" s="2" t="inlineStr">
        <is>
          <t>🟡 Company recruits part-time; exact current location not verified</t>
        </is>
      </c>
      <c r="J51" s="2" t="inlineStr">
        <is>
          <t>https://fr.indeed.com/Paris-%2875%29-Emplois-Monoprix%2C-Franprix%2C-Carrefour</t>
        </is>
      </c>
      <c r="K51" s="2" t="inlineStr">
        <is>
          <t>https://www.franprix.fr/</t>
        </is>
      </c>
      <c r="L51" s="2" t="inlineStr">
        <is>
          <t>Favicon / company logo</t>
        </is>
      </c>
      <c r="M51" s="5" t="n">
        <v>46255</v>
      </c>
      <c r="N51" s="2" t="inlineStr">
        <is>
          <t>French: French likely | English: Not specified | Student friendly: Yes | Embedded brand mark. Re-check the live job page before applying; vacancies can close or change.</t>
        </is>
      </c>
    </row>
    <row r="52" ht="28.8" customHeight="1">
      <c r="A52" t="e">
        <v>#VALUE!</v>
      </c>
      <c r="B52" s="2" t="inlineStr">
        <is>
          <t>Lidl</t>
        </is>
      </c>
      <c r="C52" s="2" t="inlineStr">
        <is>
          <t>Part-time / Student</t>
        </is>
      </c>
      <c r="D52" s="2" t="inlineStr">
        <is>
          <t>Paris / Greater Paris</t>
        </is>
      </c>
      <c r="E52" s="2" t="inlineStr">
        <is>
          <t>Not specified</t>
        </is>
      </c>
      <c r="F52" s="2" t="inlineStr">
        <is>
          <t>Grocery Retail / Supermarkets</t>
        </is>
      </c>
      <c r="G52" s="2" t="inlineStr">
        <is>
          <t>Store / cashier roles</t>
        </is>
      </c>
      <c r="H52" s="2" t="inlineStr">
        <is>
          <t>210-212 Avenue du Maine, 75014 Paris</t>
        </is>
      </c>
      <c r="I52" s="2" t="inlineStr">
        <is>
          <t>🟡 Company recruits part-time; exact current location not verified</t>
        </is>
      </c>
      <c r="J52" s="2" t="inlineStr">
        <is>
          <t>https://jobs.lidl.fr/</t>
        </is>
      </c>
      <c r="K52" s="2" t="inlineStr">
        <is>
          <t>https://jobs.lidl.fr/</t>
        </is>
      </c>
      <c r="L52" s="2" t="inlineStr">
        <is>
          <t>Favicon / company logo</t>
        </is>
      </c>
      <c r="M52" s="5" t="n">
        <v>46255</v>
      </c>
      <c r="N52" s="2" t="inlineStr">
        <is>
          <t>French: French likely | English: Not specified | Student friendly: Yes | Embedded brand mark. Re-check the live job page before applying; vacancies can close or change.</t>
        </is>
      </c>
    </row>
    <row r="53" ht="28.8" customHeight="1">
      <c r="A53" t="e">
        <v>#VALUE!</v>
      </c>
      <c r="B53" s="2" t="inlineStr">
        <is>
          <t>Lidl</t>
        </is>
      </c>
      <c r="C53" s="2" t="inlineStr">
        <is>
          <t>Part-time / Student</t>
        </is>
      </c>
      <c r="D53" s="2" t="inlineStr">
        <is>
          <t>Paris / Greater Paris</t>
        </is>
      </c>
      <c r="E53" s="2" t="inlineStr">
        <is>
          <t>Not specified</t>
        </is>
      </c>
      <c r="F53" s="2" t="inlineStr">
        <is>
          <t>Grocery Retail / Supermarkets</t>
        </is>
      </c>
      <c r="G53" s="2" t="inlineStr">
        <is>
          <t>Store / cashier roles</t>
        </is>
      </c>
      <c r="H53" s="2" t="inlineStr">
        <is>
          <t>34 Rue de Reuilly, 75012 Paris</t>
        </is>
      </c>
      <c r="I53" s="2" t="inlineStr">
        <is>
          <t>🟡 Company recruits part-time; exact current location not verified</t>
        </is>
      </c>
      <c r="J53" s="2" t="inlineStr">
        <is>
          <t>https://jobs.lidl.fr/</t>
        </is>
      </c>
      <c r="K53" s="2" t="inlineStr">
        <is>
          <t>https://jobs.lidl.fr/</t>
        </is>
      </c>
      <c r="L53" s="2" t="inlineStr">
        <is>
          <t>Favicon / company logo</t>
        </is>
      </c>
      <c r="M53" s="5" t="n">
        <v>46255</v>
      </c>
      <c r="N53" s="2" t="inlineStr">
        <is>
          <t>French: French likely | English: Not specified | Student friendly: Yes | Embedded brand mark. Re-check the live job page before applying; vacancies can close or change.</t>
        </is>
      </c>
    </row>
    <row r="54" ht="28.8" customHeight="1">
      <c r="A54" t="e">
        <v>#VALUE!</v>
      </c>
      <c r="B54" s="2" t="inlineStr">
        <is>
          <t>Action</t>
        </is>
      </c>
      <c r="C54" s="2" t="inlineStr">
        <is>
          <t>Part-time / Student</t>
        </is>
      </c>
      <c r="D54" s="2" t="inlineStr">
        <is>
          <t>Paris / Greater Paris</t>
        </is>
      </c>
      <c r="E54" s="2" t="inlineStr">
        <is>
          <t>Not specified</t>
        </is>
      </c>
      <c r="F54" s="2" t="inlineStr">
        <is>
          <t>Discount Retail / Variety Store</t>
        </is>
      </c>
      <c r="G54" s="2" t="inlineStr">
        <is>
          <t>Store employee</t>
        </is>
      </c>
      <c r="H54" s="2" t="inlineStr">
        <is>
          <t>Bagnolet (93) — 45 openings</t>
        </is>
      </c>
      <c r="I54" s="2" t="inlineStr">
        <is>
          <t>🟡 Company recruits part-time; exact current location not verified</t>
        </is>
      </c>
      <c r="J54" s="2" t="inlineStr">
        <is>
          <t>https://www.action.jobs/fr-fr/</t>
        </is>
      </c>
      <c r="K54" s="2" t="inlineStr">
        <is>
          <t>https://www.action.jobs/fr-fr/</t>
        </is>
      </c>
      <c r="L54" s="2" t="inlineStr">
        <is>
          <t>Favicon / company logo</t>
        </is>
      </c>
      <c r="M54" s="5" t="n">
        <v>46255</v>
      </c>
      <c r="N54" s="2" t="inlineStr">
        <is>
          <t>French: French likely | English: Not specified | Student friendly: Yes | Embedded brand mark. Re-check the live job page before applying; vacancies can close or change.</t>
        </is>
      </c>
    </row>
    <row r="55" ht="28.8" customHeight="1">
      <c r="A55" t="e">
        <v>#VALUE!</v>
      </c>
      <c r="B55" s="2" t="inlineStr">
        <is>
          <t>Action</t>
        </is>
      </c>
      <c r="C55" s="2" t="inlineStr">
        <is>
          <t>Part-time / Student</t>
        </is>
      </c>
      <c r="D55" s="2" t="inlineStr">
        <is>
          <t>Paris / Greater Paris</t>
        </is>
      </c>
      <c r="E55" s="2" t="inlineStr">
        <is>
          <t>Not specified</t>
        </is>
      </c>
      <c r="F55" s="2" t="inlineStr">
        <is>
          <t>Discount Retail / Variety Store</t>
        </is>
      </c>
      <c r="G55" s="2" t="inlineStr">
        <is>
          <t>Store employee</t>
        </is>
      </c>
      <c r="H55" s="2" t="inlineStr">
        <is>
          <t>Épinay-sur-Seine (93)</t>
        </is>
      </c>
      <c r="I55" s="2" t="inlineStr">
        <is>
          <t>🟡 Company recruits part-time; exact current location not verified</t>
        </is>
      </c>
      <c r="J55" s="2" t="inlineStr">
        <is>
          <t>https://www.action.jobs/fr-fr/</t>
        </is>
      </c>
      <c r="K55" s="2" t="inlineStr">
        <is>
          <t>https://www.action.jobs/fr-fr/</t>
        </is>
      </c>
      <c r="L55" s="2" t="inlineStr">
        <is>
          <t>Favicon / company logo</t>
        </is>
      </c>
      <c r="M55" s="5" t="n">
        <v>46255</v>
      </c>
      <c r="N55" s="2" t="inlineStr">
        <is>
          <t>French: French likely | English: Not specified | Student friendly: Yes | Embedded brand mark. Re-check the live job page before applying; vacancies can close or change.</t>
        </is>
      </c>
    </row>
    <row r="56" ht="28.8" customHeight="1">
      <c r="A56" t="e">
        <v>#VALUE!</v>
      </c>
      <c r="B56" s="2" t="inlineStr">
        <is>
          <t>Action</t>
        </is>
      </c>
      <c r="C56" s="2" t="inlineStr">
        <is>
          <t>Part-time / Student</t>
        </is>
      </c>
      <c r="D56" s="2" t="inlineStr">
        <is>
          <t>Paris / Greater Paris</t>
        </is>
      </c>
      <c r="E56" s="2" t="inlineStr">
        <is>
          <t>Not specified</t>
        </is>
      </c>
      <c r="F56" s="2" t="inlineStr">
        <is>
          <t>Discount Retail / Variety Store</t>
        </is>
      </c>
      <c r="G56" s="2" t="inlineStr">
        <is>
          <t>Store employee</t>
        </is>
      </c>
      <c r="H56" s="2" t="inlineStr">
        <is>
          <t>Asnières-sur-Seine (92)</t>
        </is>
      </c>
      <c r="I56" s="2" t="inlineStr">
        <is>
          <t>🟡 Company recruits part-time; exact current location not verified</t>
        </is>
      </c>
      <c r="J56" s="2" t="inlineStr">
        <is>
          <t>https://www.action.jobs/fr-fr/</t>
        </is>
      </c>
      <c r="K56" s="2" t="inlineStr">
        <is>
          <t>https://www.action.jobs/fr-fr/</t>
        </is>
      </c>
      <c r="L56" s="2" t="inlineStr">
        <is>
          <t>Favicon / company logo</t>
        </is>
      </c>
      <c r="M56" s="5" t="n">
        <v>46255</v>
      </c>
      <c r="N56" s="2" t="inlineStr">
        <is>
          <t>French: French likely | English: Not specified | Student friendly: Yes | Embedded brand mark. Re-check the live job page before applying; vacancies can close or change.</t>
        </is>
      </c>
    </row>
    <row r="57" ht="28.8" customHeight="1">
      <c r="A57" t="e">
        <v>#VALUE!</v>
      </c>
      <c r="B57" s="2" t="inlineStr">
        <is>
          <t>Action</t>
        </is>
      </c>
      <c r="C57" s="2" t="inlineStr">
        <is>
          <t>Part-time / Student</t>
        </is>
      </c>
      <c r="D57" s="2" t="inlineStr">
        <is>
          <t>Paris / Greater Paris</t>
        </is>
      </c>
      <c r="E57" s="2" t="inlineStr">
        <is>
          <t>Not specified</t>
        </is>
      </c>
      <c r="F57" s="2" t="inlineStr">
        <is>
          <t>Discount Retail / Variety Store</t>
        </is>
      </c>
      <c r="G57" s="2" t="inlineStr">
        <is>
          <t>Store employee</t>
        </is>
      </c>
      <c r="H57" s="2" t="inlineStr">
        <is>
          <t>Houilles (78)</t>
        </is>
      </c>
      <c r="I57" s="2" t="inlineStr">
        <is>
          <t>🟡 Company recruits part-time; exact current location not verified</t>
        </is>
      </c>
      <c r="J57" s="2" t="inlineStr">
        <is>
          <t>https://www.action.jobs/fr-fr/</t>
        </is>
      </c>
      <c r="K57" s="2" t="inlineStr">
        <is>
          <t>https://www.action.jobs/fr-fr/</t>
        </is>
      </c>
      <c r="L57" s="2" t="inlineStr">
        <is>
          <t>Favicon / company logo</t>
        </is>
      </c>
      <c r="M57" s="5" t="n">
        <v>46255</v>
      </c>
      <c r="N57" s="2" t="inlineStr">
        <is>
          <t>French: French likely | English: Not specified | Student friendly: Yes | Embedded brand mark. Re-check the live job page before applying; vacancies can close or change.</t>
        </is>
      </c>
    </row>
    <row r="58" ht="43.2" customHeight="1">
      <c r="A58">
        <f>_xlfn.IMAGE("https://www.google.com/s2/favicons?domain=starbucks.fr&amp;sz=128","Starbucks favicon")</f>
        <v/>
      </c>
      <c r="B58" s="2" t="inlineStr">
        <is>
          <t>Starbucks</t>
        </is>
      </c>
      <c r="C58" s="2" t="inlineStr">
        <is>
          <t>Part-time / Student</t>
        </is>
      </c>
      <c r="D58" s="2" t="inlineStr">
        <is>
          <t>Paris / Greater Paris</t>
        </is>
      </c>
      <c r="E58" s="2" t="inlineStr">
        <is>
          <t>Not specified</t>
        </is>
      </c>
      <c r="F58" s="2" t="inlineStr">
        <is>
          <t>Food Service / Coffee &amp; Bakery</t>
        </is>
      </c>
      <c r="G58" s="2" t="inlineStr">
        <is>
          <t>Barista / store team</t>
        </is>
      </c>
      <c r="H58" s="2" t="inlineStr">
        <is>
          <t>Paris 2nd (Capucines): Bd des Capucines, Paris</t>
        </is>
      </c>
      <c r="I58" s="2" t="inlineStr">
        <is>
          <t>🟡 Company recruits part-time; exact current location not verified</t>
        </is>
      </c>
      <c r="J58" s="2" t="inlineStr">
        <is>
          <t>https://www.starbucks.fr/recrutement</t>
        </is>
      </c>
      <c r="K58" s="2" t="inlineStr">
        <is>
          <t>https://www.starbucks.fr/recrutement</t>
        </is>
      </c>
      <c r="L58" s="2" t="inlineStr">
        <is>
          <t>Favicon / company logo</t>
        </is>
      </c>
      <c r="M58" s="5" t="n">
        <v>46255</v>
      </c>
      <c r="N58" s="2" t="inlineStr">
        <is>
          <t>French: French likely; English useful | English: Required / useful / role-dependent | Student friendly: Yes | Embedded brand mark. Re-check the live job page before applying; vacancies can close or change.</t>
        </is>
      </c>
    </row>
    <row r="59" ht="43.2" customHeight="1">
      <c r="A59">
        <f>_xlfn.IMAGE("https://www.google.com/s2/favicons?domain=starbucks.fr&amp;sz=128","Starbucks favicon")</f>
        <v/>
      </c>
      <c r="B59" s="2" t="inlineStr">
        <is>
          <t>Starbucks</t>
        </is>
      </c>
      <c r="C59" s="2" t="inlineStr">
        <is>
          <t>Part-time / Student</t>
        </is>
      </c>
      <c r="D59" s="2" t="inlineStr">
        <is>
          <t>Paris / Greater Paris</t>
        </is>
      </c>
      <c r="E59" s="2" t="inlineStr">
        <is>
          <t>Not specified</t>
        </is>
      </c>
      <c r="F59" s="2" t="inlineStr">
        <is>
          <t>Food Service / Coffee &amp; Bakery</t>
        </is>
      </c>
      <c r="G59" s="2" t="inlineStr">
        <is>
          <t>Barista / store team</t>
        </is>
      </c>
      <c r="H59" s="2" t="inlineStr">
        <is>
          <t>Paris 1st (Opera): Avenue de l'Opéra, Paris</t>
        </is>
      </c>
      <c r="I59" s="2" t="inlineStr">
        <is>
          <t>🟡 Company recruits part-time; exact current location not verified</t>
        </is>
      </c>
      <c r="J59" s="2" t="inlineStr">
        <is>
          <t>https://www.starbucks.fr/recrutement</t>
        </is>
      </c>
      <c r="K59" s="2" t="inlineStr">
        <is>
          <t>https://www.starbucks.fr/recrutement</t>
        </is>
      </c>
      <c r="L59" s="2" t="inlineStr">
        <is>
          <t>Favicon / company logo</t>
        </is>
      </c>
      <c r="M59" s="5" t="n">
        <v>46255</v>
      </c>
      <c r="N59" s="2" t="inlineStr">
        <is>
          <t>French: French likely; English useful | English: Required / useful / role-dependent | Student friendly: Yes | Embedded brand mark. Re-check the live job page before applying; vacancies can close or change.</t>
        </is>
      </c>
    </row>
    <row r="60" ht="43.2" customHeight="1">
      <c r="A60">
        <f>_xlfn.IMAGE("https://www.google.com/s2/favicons?domain=starbucks.fr&amp;sz=128","Starbucks favicon")</f>
        <v/>
      </c>
      <c r="B60" s="2" t="inlineStr">
        <is>
          <t>Starbucks</t>
        </is>
      </c>
      <c r="C60" s="2" t="inlineStr">
        <is>
          <t>Part-time / Student</t>
        </is>
      </c>
      <c r="D60" s="2" t="inlineStr">
        <is>
          <t>Paris / Greater Paris</t>
        </is>
      </c>
      <c r="E60" s="2" t="inlineStr">
        <is>
          <t>Not specified</t>
        </is>
      </c>
      <c r="F60" s="2" t="inlineStr">
        <is>
          <t>Food Service / Coffee &amp; Bakery</t>
        </is>
      </c>
      <c r="G60" s="2" t="inlineStr">
        <is>
          <t>Barista / store team</t>
        </is>
      </c>
      <c r="H60" s="2" t="inlineStr">
        <is>
          <t>Paris 1st (Ladder): Rue de l'Échelle, Paris</t>
        </is>
      </c>
      <c r="I60" s="2" t="inlineStr">
        <is>
          <t>🟡 Company recruits part-time; exact current location not verified</t>
        </is>
      </c>
      <c r="J60" s="2" t="inlineStr">
        <is>
          <t>https://www.starbucks.fr/recrutement</t>
        </is>
      </c>
      <c r="K60" s="2" t="inlineStr">
        <is>
          <t>https://www.starbucks.fr/recrutement</t>
        </is>
      </c>
      <c r="L60" s="2" t="inlineStr">
        <is>
          <t>Favicon / company logo</t>
        </is>
      </c>
      <c r="M60" s="5" t="n">
        <v>46255</v>
      </c>
      <c r="N60" s="2" t="inlineStr">
        <is>
          <t>French: French likely; English useful | English: Required / useful / role-dependent | Student friendly: Yes | Embedded brand mark. Re-check the live job page before applying; vacancies can close or change.</t>
        </is>
      </c>
    </row>
    <row r="61" ht="43.2" customHeight="1">
      <c r="A61">
        <f>_xlfn.IMAGE("https://www.google.com/s2/favicons?domain=starbucks.fr&amp;sz=128","Starbucks favicon")</f>
        <v/>
      </c>
      <c r="B61" s="2" t="inlineStr">
        <is>
          <t>Starbucks</t>
        </is>
      </c>
      <c r="C61" s="2" t="inlineStr">
        <is>
          <t>Part-time / Student</t>
        </is>
      </c>
      <c r="D61" s="2" t="inlineStr">
        <is>
          <t>Paris / Greater Paris</t>
        </is>
      </c>
      <c r="E61" s="2" t="inlineStr">
        <is>
          <t>Not specified</t>
        </is>
      </c>
      <c r="F61" s="2" t="inlineStr">
        <is>
          <t>Food Service / Coffee &amp; Bakery</t>
        </is>
      </c>
      <c r="G61" s="2" t="inlineStr">
        <is>
          <t>Barista / store team</t>
        </is>
      </c>
      <c r="H61" s="2" t="inlineStr">
        <is>
          <t>Paris 15th (Gare Montparnasse): 17 Bd de Vaugirard, 75015 Paris</t>
        </is>
      </c>
      <c r="I61" s="2" t="inlineStr">
        <is>
          <t>🟡 Company recruits part-time; exact current location not verified</t>
        </is>
      </c>
      <c r="J61" s="2" t="inlineStr">
        <is>
          <t>https://www.starbucks.fr/recrutement</t>
        </is>
      </c>
      <c r="K61" s="2" t="inlineStr">
        <is>
          <t>https://www.starbucks.fr/recrutement</t>
        </is>
      </c>
      <c r="L61" s="2" t="inlineStr">
        <is>
          <t>Favicon / company logo</t>
        </is>
      </c>
      <c r="M61" s="5" t="n">
        <v>46255</v>
      </c>
      <c r="N61" s="2" t="inlineStr">
        <is>
          <t>French: French likely; English useful | English: Required / useful / role-dependent | Student friendly: Yes | Embedded brand mark. Re-check the live job page before applying; vacancies can close or change.</t>
        </is>
      </c>
    </row>
    <row r="62" ht="43.2" customHeight="1">
      <c r="A62">
        <f>_xlfn.IMAGE("https://www.google.com/s2/favicons?domain=starbucks.fr&amp;sz=128","Starbucks favicon")</f>
        <v/>
      </c>
      <c r="B62" s="2" t="inlineStr">
        <is>
          <t>Starbucks</t>
        </is>
      </c>
      <c r="C62" s="2" t="inlineStr">
        <is>
          <t>Part-time / Student</t>
        </is>
      </c>
      <c r="D62" s="2" t="inlineStr">
        <is>
          <t>Paris / Greater Paris</t>
        </is>
      </c>
      <c r="E62" s="2" t="inlineStr">
        <is>
          <t>Not specified</t>
        </is>
      </c>
      <c r="F62" s="2" t="inlineStr">
        <is>
          <t>Food Service / Coffee &amp; Bakery</t>
        </is>
      </c>
      <c r="G62" s="2" t="inlineStr">
        <is>
          <t>Barista / store team</t>
        </is>
      </c>
      <c r="H62" s="2" t="inlineStr">
        <is>
          <t>Paris 12th arrondissement (Bercy): Rue de Bercy, Paris</t>
        </is>
      </c>
      <c r="I62" s="2" t="inlineStr">
        <is>
          <t>🟡 Company recruits part-time; exact current location not verified</t>
        </is>
      </c>
      <c r="J62" s="2" t="inlineStr">
        <is>
          <t>https://www.starbucks.fr/recrutement</t>
        </is>
      </c>
      <c r="K62" s="2" t="inlineStr">
        <is>
          <t>https://www.starbucks.fr/recrutement</t>
        </is>
      </c>
      <c r="L62" s="2" t="inlineStr">
        <is>
          <t>Favicon / company logo</t>
        </is>
      </c>
      <c r="M62" s="5" t="n">
        <v>46255</v>
      </c>
      <c r="N62" s="2" t="inlineStr">
        <is>
          <t>French: French likely; English useful | English: Required / useful / role-dependent | Student friendly: Yes | Embedded brand mark. Re-check the live job page before applying; vacancies can close or change.</t>
        </is>
      </c>
    </row>
    <row r="63" ht="43.2" customHeight="1">
      <c r="A63">
        <f>_xlfn.IMAGE("https://www.google.com/s2/favicons?domain=starbucks.fr&amp;sz=128","Starbucks favicon")</f>
        <v/>
      </c>
      <c r="B63" s="2" t="inlineStr">
        <is>
          <t>Starbucks</t>
        </is>
      </c>
      <c r="C63" s="2" t="inlineStr">
        <is>
          <t>Part-time / Student</t>
        </is>
      </c>
      <c r="D63" s="2" t="inlineStr">
        <is>
          <t>Paris / Greater Paris</t>
        </is>
      </c>
      <c r="E63" s="2" t="inlineStr">
        <is>
          <t>Not specified</t>
        </is>
      </c>
      <c r="F63" s="2" t="inlineStr">
        <is>
          <t>Food Service / Coffee &amp; Bakery</t>
        </is>
      </c>
      <c r="G63" s="2" t="inlineStr">
        <is>
          <t>Barista / store team</t>
        </is>
      </c>
      <c r="H63" s="2" t="inlineStr">
        <is>
          <t>Paris 10th (Gare de l'Est): 4 Rue du 8 Mai 1945, 75010 Paris</t>
        </is>
      </c>
      <c r="I63" s="2" t="inlineStr">
        <is>
          <t>🟡 Company recruits part-time; exact current location not verified</t>
        </is>
      </c>
      <c r="J63" s="2" t="inlineStr">
        <is>
          <t>https://www.starbucks.fr/recrutement</t>
        </is>
      </c>
      <c r="K63" s="2" t="inlineStr">
        <is>
          <t>https://www.starbucks.fr/recrutement</t>
        </is>
      </c>
      <c r="L63" s="2" t="inlineStr">
        <is>
          <t>Favicon / company logo</t>
        </is>
      </c>
      <c r="M63" s="5" t="n">
        <v>46255</v>
      </c>
      <c r="N63" s="2" t="inlineStr">
        <is>
          <t>French: French likely; English useful | English: Required / useful / role-dependent | Student friendly: Yes | Embedded brand mark. Re-check the live job page before applying; vacancies can close or change.</t>
        </is>
      </c>
    </row>
    <row r="64" ht="43.2" customHeight="1">
      <c r="A64">
        <f>_xlfn.IMAGE("https://www.google.com/s2/favicons?domain=starbucks.fr&amp;sz=128","Starbucks favicon")</f>
        <v/>
      </c>
      <c r="B64" s="2" t="inlineStr">
        <is>
          <t>Starbucks</t>
        </is>
      </c>
      <c r="C64" s="2" t="inlineStr">
        <is>
          <t>Part-time / Student</t>
        </is>
      </c>
      <c r="D64" s="2" t="inlineStr">
        <is>
          <t>Paris / Greater Paris</t>
        </is>
      </c>
      <c r="E64" s="2" t="inlineStr">
        <is>
          <t>Not specified</t>
        </is>
      </c>
      <c r="F64" s="2" t="inlineStr">
        <is>
          <t>Food Service / Coffee &amp; Bakery</t>
        </is>
      </c>
      <c r="G64" s="2" t="inlineStr">
        <is>
          <t>Barista / store team</t>
        </is>
      </c>
      <c r="H64" s="2" t="inlineStr">
        <is>
          <t>Paris 10th (Gare du Nord): 18 Rue de Dunkerque, 75010 Paris</t>
        </is>
      </c>
      <c r="I64" s="2" t="inlineStr">
        <is>
          <t>🟡 Company recruits part-time; exact current location not verified</t>
        </is>
      </c>
      <c r="J64" s="2" t="inlineStr">
        <is>
          <t>https://www.starbucks.fr/recrutement</t>
        </is>
      </c>
      <c r="K64" s="2" t="inlineStr">
        <is>
          <t>https://www.starbucks.fr/recrutement</t>
        </is>
      </c>
      <c r="L64" s="2" t="inlineStr">
        <is>
          <t>Favicon / company logo</t>
        </is>
      </c>
      <c r="M64" s="5" t="n">
        <v>46255</v>
      </c>
      <c r="N64" s="2" t="inlineStr">
        <is>
          <t>French: French likely; English useful | English: Required / useful / role-dependent | Student friendly: Yes | Embedded brand mark. Re-check the live job page before applying; vacancies can close or change.</t>
        </is>
      </c>
    </row>
    <row r="65" ht="43.2" customHeight="1">
      <c r="A65">
        <f>_xlfn.IMAGE("https://www.google.com/s2/favicons?domain=starbucks.fr&amp;sz=128","Starbucks favicon")</f>
        <v/>
      </c>
      <c r="B65" s="2" t="inlineStr">
        <is>
          <t>Starbucks</t>
        </is>
      </c>
      <c r="C65" s="2" t="inlineStr">
        <is>
          <t>Part-time / Student</t>
        </is>
      </c>
      <c r="D65" s="2" t="inlineStr">
        <is>
          <t>Paris / Greater Paris</t>
        </is>
      </c>
      <c r="E65" s="2" t="inlineStr">
        <is>
          <t>Not specified</t>
        </is>
      </c>
      <c r="F65" s="2" t="inlineStr">
        <is>
          <t>Food Service / Coffee &amp; Bakery</t>
        </is>
      </c>
      <c r="G65" s="2" t="inlineStr">
        <is>
          <t>Barista / store team</t>
        </is>
      </c>
      <c r="H65" s="2" t="inlineStr">
        <is>
          <t>Paris 8th (Saint-Lazare): 1 Cr de Rome, 75008 Paris</t>
        </is>
      </c>
      <c r="I65" s="2" t="inlineStr">
        <is>
          <t>🟡 Company recruits part-time; exact current location not verified</t>
        </is>
      </c>
      <c r="J65" s="2" t="inlineStr">
        <is>
          <t>https://www.starbucks.fr/recrutement</t>
        </is>
      </c>
      <c r="K65" s="2" t="inlineStr">
        <is>
          <t>https://www.starbucks.fr/recrutement</t>
        </is>
      </c>
      <c r="L65" s="2" t="inlineStr">
        <is>
          <t>Favicon / company logo</t>
        </is>
      </c>
      <c r="M65" s="5" t="n">
        <v>46255</v>
      </c>
      <c r="N65" s="2" t="inlineStr">
        <is>
          <t>French: French likely; English useful | English: Required / useful / role-dependent | Student friendly: Yes | Embedded brand mark. Re-check the live job page before applying; vacancies can close or change.</t>
        </is>
      </c>
    </row>
    <row r="66" ht="43.2" customHeight="1">
      <c r="A66">
        <f>_xlfn.IMAGE("https://www.google.com/s2/favicons?domain=starbucks.fr&amp;sz=128","Starbucks favicon")</f>
        <v/>
      </c>
      <c r="B66" s="2" t="inlineStr">
        <is>
          <t>Starbucks</t>
        </is>
      </c>
      <c r="C66" s="2" t="inlineStr">
        <is>
          <t>Part-time / Student</t>
        </is>
      </c>
      <c r="D66" s="2" t="inlineStr">
        <is>
          <t>Paris / Greater Paris</t>
        </is>
      </c>
      <c r="E66" s="2" t="inlineStr">
        <is>
          <t>Not specified</t>
        </is>
      </c>
      <c r="F66" s="2" t="inlineStr">
        <is>
          <t>Food Service / Coffee &amp; Bakery</t>
        </is>
      </c>
      <c r="G66" s="2" t="inlineStr">
        <is>
          <t>Barista / store team</t>
        </is>
      </c>
      <c r="H66" s="2" t="inlineStr">
        <is>
          <t>Paris 14th (Montparnasse): 70 Bd du Montparnasse, 75014 Paris</t>
        </is>
      </c>
      <c r="I66" s="2" t="inlineStr">
        <is>
          <t>🟡 Company recruits part-time; exact current location not verified</t>
        </is>
      </c>
      <c r="J66" s="2" t="inlineStr">
        <is>
          <t>https://www.starbucks.fr/recrutement</t>
        </is>
      </c>
      <c r="K66" s="2" t="inlineStr">
        <is>
          <t>https://www.starbucks.fr/recrutement</t>
        </is>
      </c>
      <c r="L66" s="2" t="inlineStr">
        <is>
          <t>Favicon / company logo</t>
        </is>
      </c>
      <c r="M66" s="5" t="n">
        <v>46255</v>
      </c>
      <c r="N66" s="2" t="inlineStr">
        <is>
          <t>French: French likely; English useful | English: Required / useful / role-dependent | Student friendly: Yes | Embedded brand mark. Re-check the live job page before applying; vacancies can close or change.</t>
        </is>
      </c>
    </row>
    <row r="67" ht="43.2" customHeight="1">
      <c r="A67">
        <f>_xlfn.IMAGE("https://www.google.com/s2/favicons?domain=starbucks.fr&amp;sz=128","Starbucks favicon")</f>
        <v/>
      </c>
      <c r="B67" s="2" t="inlineStr">
        <is>
          <t>Starbucks</t>
        </is>
      </c>
      <c r="C67" s="2" t="inlineStr">
        <is>
          <t>Part-time / Student</t>
        </is>
      </c>
      <c r="D67" s="2" t="inlineStr">
        <is>
          <t>Paris / Greater Paris</t>
        </is>
      </c>
      <c r="E67" s="2" t="inlineStr">
        <is>
          <t>Not specified</t>
        </is>
      </c>
      <c r="F67" s="2" t="inlineStr">
        <is>
          <t>Food Service / Coffee &amp; Bakery</t>
        </is>
      </c>
      <c r="G67" s="2" t="inlineStr">
        <is>
          <t>Barista / store team</t>
        </is>
      </c>
      <c r="H67" s="2" t="inlineStr">
        <is>
          <t>Paris 1er (Sébastopol): 11 Bd de Sébastopol, 75001 Paris</t>
        </is>
      </c>
      <c r="I67" s="2" t="inlineStr">
        <is>
          <t>🟡 Company recruits part-time; exact current location not verified</t>
        </is>
      </c>
      <c r="J67" s="2" t="inlineStr">
        <is>
          <t>https://www.starbucks.fr/recrutement</t>
        </is>
      </c>
      <c r="K67" s="2" t="inlineStr">
        <is>
          <t>https://www.starbucks.fr/recrutement</t>
        </is>
      </c>
      <c r="L67" s="2" t="inlineStr">
        <is>
          <t>Favicon / company logo</t>
        </is>
      </c>
      <c r="M67" s="5" t="n">
        <v>46255</v>
      </c>
      <c r="N67" s="2" t="inlineStr">
        <is>
          <t>French: French likely; English useful | English: Required / useful / role-dependent | Student friendly: Yes | Embedded brand mark. Re-check the live job page before applying; vacancies can close or change.</t>
        </is>
      </c>
    </row>
    <row r="68" ht="43.2" customHeight="1">
      <c r="A68">
        <f>_xlfn.IMAGE("https://www.google.com/s2/favicons?domain=starbucks.fr&amp;sz=128","Starbucks favicon")</f>
        <v/>
      </c>
      <c r="B68" s="2" t="inlineStr">
        <is>
          <t>Starbucks</t>
        </is>
      </c>
      <c r="C68" s="2" t="inlineStr">
        <is>
          <t>Part-time / Student</t>
        </is>
      </c>
      <c r="D68" s="2" t="inlineStr">
        <is>
          <t>Paris / Greater Paris</t>
        </is>
      </c>
      <c r="E68" s="2" t="inlineStr">
        <is>
          <t>Not specified</t>
        </is>
      </c>
      <c r="F68" s="2" t="inlineStr">
        <is>
          <t>Food Service / Coffee &amp; Bakery</t>
        </is>
      </c>
      <c r="G68" s="2" t="inlineStr">
        <is>
          <t>Barista / store team</t>
        </is>
      </c>
      <c r="H68" s="2" t="inlineStr">
        <is>
          <t>Paris 9th (Haussmann): 32 Bd Haussmann, 75009 Paris</t>
        </is>
      </c>
      <c r="I68" s="2" t="inlineStr">
        <is>
          <t>🟡 Company recruits part-time; exact current location not verified</t>
        </is>
      </c>
      <c r="J68" s="2" t="inlineStr">
        <is>
          <t>https://www.starbucks.fr/recrutement</t>
        </is>
      </c>
      <c r="K68" s="2" t="inlineStr">
        <is>
          <t>https://www.starbucks.fr/recrutement</t>
        </is>
      </c>
      <c r="L68" s="2" t="inlineStr">
        <is>
          <t>Favicon / company logo</t>
        </is>
      </c>
      <c r="M68" s="5" t="n">
        <v>46255</v>
      </c>
      <c r="N68" s="2" t="inlineStr">
        <is>
          <t>French: French likely; English useful | English: Required / useful / role-dependent | Student friendly: Yes | Embedded brand mark. Re-check the live job page before applying; vacancies can close or change.</t>
        </is>
      </c>
    </row>
    <row r="69" ht="43.2" customHeight="1">
      <c r="A69">
        <f>_xlfn.IMAGE("https://www.google.com/s2/favicons?domain=starbucks.fr&amp;sz=128","Starbucks favicon")</f>
        <v/>
      </c>
      <c r="B69" s="2" t="inlineStr">
        <is>
          <t>Starbucks</t>
        </is>
      </c>
      <c r="C69" s="2" t="inlineStr">
        <is>
          <t>Part-time / Student</t>
        </is>
      </c>
      <c r="D69" s="2" t="inlineStr">
        <is>
          <t>Paris / Greater Paris</t>
        </is>
      </c>
      <c r="E69" s="2" t="inlineStr">
        <is>
          <t>Not specified</t>
        </is>
      </c>
      <c r="F69" s="2" t="inlineStr">
        <is>
          <t>Food Service / Coffee &amp; Bakery</t>
        </is>
      </c>
      <c r="G69" s="2" t="inlineStr">
        <is>
          <t>Barista / store team</t>
        </is>
      </c>
      <c r="H69" s="2" t="inlineStr">
        <is>
          <t>Paris 1st (Forum des Halles): Multiple active points including level -3 and 1 Passage de La Canopée</t>
        </is>
      </c>
      <c r="I69" s="2" t="inlineStr">
        <is>
          <t>🟡 Company recruits part-time; exact current location not verified</t>
        </is>
      </c>
      <c r="J69" s="2" t="inlineStr">
        <is>
          <t>https://www.starbucks.fr/recrutement</t>
        </is>
      </c>
      <c r="K69" s="2" t="inlineStr">
        <is>
          <t>https://www.starbucks.fr/recrutement</t>
        </is>
      </c>
      <c r="L69" s="2" t="inlineStr">
        <is>
          <t>Favicon / company logo</t>
        </is>
      </c>
      <c r="M69" s="5" t="n">
        <v>46255</v>
      </c>
      <c r="N69" s="2" t="inlineStr">
        <is>
          <t>French: French likely; English useful | English: Required / useful / role-dependent | Student friendly: Yes | Embedded brand mark. Re-check the live job page before applying; vacancies can close or change.</t>
        </is>
      </c>
    </row>
    <row r="70" ht="43.2" customHeight="1">
      <c r="A70">
        <f>_xlfn.IMAGE("https://www.google.com/s2/favicons?domain=starbucks.fr&amp;sz=128","Starbucks favicon")</f>
        <v/>
      </c>
      <c r="B70" s="2" t="inlineStr">
        <is>
          <t>Starbucks</t>
        </is>
      </c>
      <c r="C70" s="2" t="inlineStr">
        <is>
          <t>Part-time / Student</t>
        </is>
      </c>
      <c r="D70" s="2" t="inlineStr">
        <is>
          <t>Paris / Greater Paris</t>
        </is>
      </c>
      <c r="E70" s="2" t="inlineStr">
        <is>
          <t>Not specified</t>
        </is>
      </c>
      <c r="F70" s="2" t="inlineStr">
        <is>
          <t>Food Service / Coffee &amp; Bakery</t>
        </is>
      </c>
      <c r="G70" s="2" t="inlineStr">
        <is>
          <t>Barista / store team</t>
        </is>
      </c>
      <c r="H70" s="2" t="inlineStr">
        <is>
          <t>Paris 9th (La Fayette): 67 Rue La Fayette, 75009 Paris</t>
        </is>
      </c>
      <c r="I70" s="2" t="inlineStr">
        <is>
          <t>🟡 Company recruits part-time; exact current location not verified</t>
        </is>
      </c>
      <c r="J70" s="2" t="inlineStr">
        <is>
          <t>https://www.starbucks.fr/recrutement</t>
        </is>
      </c>
      <c r="K70" s="2" t="inlineStr">
        <is>
          <t>https://www.starbucks.fr/recrutement</t>
        </is>
      </c>
      <c r="L70" s="2" t="inlineStr">
        <is>
          <t>Favicon / company logo</t>
        </is>
      </c>
      <c r="M70" s="5" t="n">
        <v>46255</v>
      </c>
      <c r="N70" s="2" t="inlineStr">
        <is>
          <t>French: French likely; English useful | English: Required / useful / role-dependent | Student friendly: Yes | Embedded brand mark. Re-check the live job page before applying; vacancies can close or change.</t>
        </is>
      </c>
    </row>
    <row r="71" ht="43.2" customHeight="1">
      <c r="A71">
        <f>_xlfn.IMAGE("https://www.google.com/s2/favicons?domain=starbucks.fr&amp;sz=128","Starbucks favicon")</f>
        <v/>
      </c>
      <c r="B71" s="2" t="inlineStr">
        <is>
          <t>Starbucks</t>
        </is>
      </c>
      <c r="C71" s="2" t="inlineStr">
        <is>
          <t>Part-time / Student</t>
        </is>
      </c>
      <c r="D71" s="2" t="inlineStr">
        <is>
          <t>Paris / Greater Paris</t>
        </is>
      </c>
      <c r="E71" s="2" t="inlineStr">
        <is>
          <t>Not specified</t>
        </is>
      </c>
      <c r="F71" s="2" t="inlineStr">
        <is>
          <t>Food Service / Coffee &amp; Bakery</t>
        </is>
      </c>
      <c r="G71" s="2" t="inlineStr">
        <is>
          <t>Barista / store team</t>
        </is>
      </c>
      <c r="H71" s="2" t="inlineStr">
        <is>
          <t>Paris 1er (Carrousel du Louvre): 75001 Paris</t>
        </is>
      </c>
      <c r="I71" s="2" t="inlineStr">
        <is>
          <t>🟡 Company recruits part-time; exact current location not verified</t>
        </is>
      </c>
      <c r="J71" s="2" t="inlineStr">
        <is>
          <t>https://www.starbucks.fr/recrutement</t>
        </is>
      </c>
      <c r="K71" s="2" t="inlineStr">
        <is>
          <t>https://www.starbucks.fr/recrutement</t>
        </is>
      </c>
      <c r="L71" s="2" t="inlineStr">
        <is>
          <t>Favicon / company logo</t>
        </is>
      </c>
      <c r="M71" s="5" t="n">
        <v>46255</v>
      </c>
      <c r="N71" s="2" t="inlineStr">
        <is>
          <t>French: French likely; English useful | English: Required / useful / role-dependent | Student friendly: Yes | Embedded brand mark. Re-check the live job page before applying; vacancies can close or change.</t>
        </is>
      </c>
    </row>
    <row r="72" ht="43.2" customHeight="1">
      <c r="A72">
        <f>_xlfn.IMAGE("https://www.google.com/s2/favicons?domain=starbucks.fr&amp;sz=128","Starbucks favicon")</f>
        <v/>
      </c>
      <c r="B72" s="2" t="inlineStr">
        <is>
          <t>Starbucks</t>
        </is>
      </c>
      <c r="C72" s="2" t="inlineStr">
        <is>
          <t>Part-time / Student</t>
        </is>
      </c>
      <c r="D72" s="2" t="inlineStr">
        <is>
          <t>Paris / Greater Paris</t>
        </is>
      </c>
      <c r="E72" s="2" t="inlineStr">
        <is>
          <t>Not specified</t>
        </is>
      </c>
      <c r="F72" s="2" t="inlineStr">
        <is>
          <t>Food Service / Coffee &amp; Bakery</t>
        </is>
      </c>
      <c r="G72" s="2" t="inlineStr">
        <is>
          <t>Barista / store team</t>
        </is>
      </c>
      <c r="H72" s="2" t="inlineStr">
        <is>
          <t>Paris 9th (Havre): 10 Rue du Havre, 75009 Paris</t>
        </is>
      </c>
      <c r="I72" s="2" t="inlineStr">
        <is>
          <t>🟡 Company recruits part-time; exact current location not verified</t>
        </is>
      </c>
      <c r="J72" s="2" t="inlineStr">
        <is>
          <t>https://www.starbucks.fr/recrutement</t>
        </is>
      </c>
      <c r="K72" s="2" t="inlineStr">
        <is>
          <t>https://www.starbucks.fr/recrutement</t>
        </is>
      </c>
      <c r="L72" s="2" t="inlineStr">
        <is>
          <t>Favicon / company logo</t>
        </is>
      </c>
      <c r="M72" s="5" t="n">
        <v>46255</v>
      </c>
      <c r="N72" s="2" t="inlineStr">
        <is>
          <t>French: French likely; English useful | English: Required / useful / role-dependent | Student friendly: Yes | Embedded brand mark. Re-check the live job page before applying; vacancies can close or change.</t>
        </is>
      </c>
    </row>
    <row r="73" ht="43.2" customHeight="1">
      <c r="A73">
        <f>_xlfn.IMAGE("https://www.google.com/s2/favicons?domain=starbucks.fr&amp;sz=128","Starbucks favicon")</f>
        <v/>
      </c>
      <c r="B73" s="2" t="inlineStr">
        <is>
          <t>Starbucks</t>
        </is>
      </c>
      <c r="C73" s="2" t="inlineStr">
        <is>
          <t>Part-time / Student</t>
        </is>
      </c>
      <c r="D73" s="2" t="inlineStr">
        <is>
          <t>Paris / Greater Paris</t>
        </is>
      </c>
      <c r="E73" s="2" t="inlineStr">
        <is>
          <t>Not specified</t>
        </is>
      </c>
      <c r="F73" s="2" t="inlineStr">
        <is>
          <t>Food Service / Coffee &amp; Bakery</t>
        </is>
      </c>
      <c r="G73" s="2" t="inlineStr">
        <is>
          <t>Barista / store team</t>
        </is>
      </c>
      <c r="H73" s="2" t="inlineStr">
        <is>
          <t>Paris 1st (Rambuteau): 77 Rue Rambuteau, 75001 Paris</t>
        </is>
      </c>
      <c r="I73" s="2" t="inlineStr">
        <is>
          <t>🟡 Company recruits part-time; exact current location not verified</t>
        </is>
      </c>
      <c r="J73" s="2" t="inlineStr">
        <is>
          <t>https://www.starbucks.fr/recrutement</t>
        </is>
      </c>
      <c r="K73" s="2" t="inlineStr">
        <is>
          <t>https://www.starbucks.fr/recrutement</t>
        </is>
      </c>
      <c r="L73" s="2" t="inlineStr">
        <is>
          <t>Favicon / company logo</t>
        </is>
      </c>
      <c r="M73" s="5" t="n">
        <v>46255</v>
      </c>
      <c r="N73" s="2" t="inlineStr">
        <is>
          <t>French: French likely; English useful | English: Required / useful / role-dependent | Student friendly: Yes | Embedded brand mark. Re-check the live job page before applying; vacancies can close or change.</t>
        </is>
      </c>
    </row>
    <row r="74" ht="43.2" customHeight="1">
      <c r="A74">
        <f>_xlfn.IMAGE("https://www.google.com/s2/favicons?domain=starbucks.fr&amp;sz=128","Starbucks favicon")</f>
        <v/>
      </c>
      <c r="B74" s="2" t="inlineStr">
        <is>
          <t>Starbucks</t>
        </is>
      </c>
      <c r="C74" s="2" t="inlineStr">
        <is>
          <t>Part-time / Student</t>
        </is>
      </c>
      <c r="D74" s="2" t="inlineStr">
        <is>
          <t>Paris / Greater Paris</t>
        </is>
      </c>
      <c r="E74" s="2" t="inlineStr">
        <is>
          <t>Not specified</t>
        </is>
      </c>
      <c r="F74" s="2" t="inlineStr">
        <is>
          <t>Food Service / Coffee &amp; Bakery</t>
        </is>
      </c>
      <c r="G74" s="2" t="inlineStr">
        <is>
          <t>Barista / store team</t>
        </is>
      </c>
      <c r="H74" s="2" t="inlineStr">
        <is>
          <t>Paris 6th (Saint-Michel): 24 Bd Saint-Michel, 75006 Paris</t>
        </is>
      </c>
      <c r="I74" s="2" t="inlineStr">
        <is>
          <t>🟡 Company recruits part-time; exact current location not verified</t>
        </is>
      </c>
      <c r="J74" s="2" t="inlineStr">
        <is>
          <t>https://www.starbucks.fr/recrutement</t>
        </is>
      </c>
      <c r="K74" s="2" t="inlineStr">
        <is>
          <t>https://www.starbucks.fr/recrutement</t>
        </is>
      </c>
      <c r="L74" s="2" t="inlineStr">
        <is>
          <t>Favicon / company logo</t>
        </is>
      </c>
      <c r="M74" s="5" t="n">
        <v>46255</v>
      </c>
      <c r="N74" s="2" t="inlineStr">
        <is>
          <t>French: French likely; English useful | English: Required / useful / role-dependent | Student friendly: Yes | Embedded brand mark. Re-check the live job page before applying; vacancies can close or change.</t>
        </is>
      </c>
    </row>
    <row r="75" ht="43.2" customHeight="1">
      <c r="A75">
        <f>_xlfn.IMAGE("https://www.google.com/s2/favicons?domain=starbucks.fr&amp;sz=128","Starbucks favicon")</f>
        <v/>
      </c>
      <c r="B75" s="2" t="inlineStr">
        <is>
          <t>Starbucks</t>
        </is>
      </c>
      <c r="C75" s="2" t="inlineStr">
        <is>
          <t>Part-time / Student</t>
        </is>
      </c>
      <c r="D75" s="2" t="inlineStr">
        <is>
          <t>Paris / Greater Paris</t>
        </is>
      </c>
      <c r="E75" s="2" t="inlineStr">
        <is>
          <t>Not specified</t>
        </is>
      </c>
      <c r="F75" s="2" t="inlineStr">
        <is>
          <t>Food Service / Coffee &amp; Bakery</t>
        </is>
      </c>
      <c r="G75" s="2" t="inlineStr">
        <is>
          <t>Barista / store team</t>
        </is>
      </c>
      <c r="H75" s="2" t="inlineStr">
        <is>
          <t>Paris 13th (Avenue de France): 107 Av. de France, 75013 Paris</t>
        </is>
      </c>
      <c r="I75" s="2" t="inlineStr">
        <is>
          <t>🟡 Company recruits part-time; exact current location not verified</t>
        </is>
      </c>
      <c r="J75" s="2" t="inlineStr">
        <is>
          <t>https://www.starbucks.fr/recrutement</t>
        </is>
      </c>
      <c r="K75" s="2" t="inlineStr">
        <is>
          <t>https://www.starbucks.fr/recrutement</t>
        </is>
      </c>
      <c r="L75" s="2" t="inlineStr">
        <is>
          <t>Favicon / company logo</t>
        </is>
      </c>
      <c r="M75" s="5" t="n">
        <v>46255</v>
      </c>
      <c r="N75" s="2" t="inlineStr">
        <is>
          <t>French: French likely; English useful | English: Required / useful / role-dependent | Student friendly: Yes | Embedded brand mark. Re-check the live job page before applying; vacancies can close or change.</t>
        </is>
      </c>
    </row>
    <row r="76" ht="43.2" customHeight="1">
      <c r="A76">
        <f>_xlfn.IMAGE("https://www.google.com/s2/favicons?domain=starbucks.fr&amp;sz=128","Starbucks favicon")</f>
        <v/>
      </c>
      <c r="B76" s="2" t="inlineStr">
        <is>
          <t>Starbucks</t>
        </is>
      </c>
      <c r="C76" s="2" t="inlineStr">
        <is>
          <t>Part-time / Student</t>
        </is>
      </c>
      <c r="D76" s="2" t="inlineStr">
        <is>
          <t>Paris / Greater Paris</t>
        </is>
      </c>
      <c r="E76" s="2" t="inlineStr">
        <is>
          <t>Not specified</t>
        </is>
      </c>
      <c r="F76" s="2" t="inlineStr">
        <is>
          <t>Food Service / Coffee &amp; Bakery</t>
        </is>
      </c>
      <c r="G76" s="2" t="inlineStr">
        <is>
          <t>Barista / store team</t>
        </is>
      </c>
      <c r="H76" s="2" t="inlineStr">
        <is>
          <t>Paris 2nd (Poissonnière): 7 Bd Poissonnière, 75002 Paris</t>
        </is>
      </c>
      <c r="I76" s="2" t="inlineStr">
        <is>
          <t>🟡 Company recruits part-time; exact current location not verified</t>
        </is>
      </c>
      <c r="J76" s="2" t="inlineStr">
        <is>
          <t>https://www.starbucks.fr/recrutement</t>
        </is>
      </c>
      <c r="K76" s="2" t="inlineStr">
        <is>
          <t>https://www.starbucks.fr/recrutement</t>
        </is>
      </c>
      <c r="L76" s="2" t="inlineStr">
        <is>
          <t>Favicon / company logo</t>
        </is>
      </c>
      <c r="M76" s="5" t="n">
        <v>46255</v>
      </c>
      <c r="N76" s="2" t="inlineStr">
        <is>
          <t>French: French likely; English useful | English: Required / useful / role-dependent | Student friendly: Yes | Embedded brand mark. Re-check the live job page before applying; vacancies can close or change.</t>
        </is>
      </c>
    </row>
    <row r="77" ht="43.2" customHeight="1">
      <c r="A77" t="e">
        <v>#VALUE!</v>
      </c>
      <c r="B77" s="2" t="inlineStr">
        <is>
          <t>Pret A Manger</t>
        </is>
      </c>
      <c r="C77" s="2" t="inlineStr">
        <is>
          <t>Part-time</t>
        </is>
      </c>
      <c r="D77" s="2" t="inlineStr">
        <is>
          <t>Paris</t>
        </is>
      </c>
      <c r="E77" s="2" t="inlineStr">
        <is>
          <t>Not specified</t>
        </is>
      </c>
      <c r="F77" s="2" t="inlineStr">
        <is>
          <t>Food Service / Coffee &amp; Bakery</t>
        </is>
      </c>
      <c r="G77" s="2" t="inlineStr">
        <is>
          <t>Team Member / Service</t>
        </is>
      </c>
      <c r="H77" s="2" t="inlineStr">
        <is>
          <t>34 Rue du Louvre, 75001 Paris, France</t>
        </is>
      </c>
      <c r="I77" s="2" t="inlineStr">
        <is>
          <t>🟢 Current hiring signal found</t>
        </is>
      </c>
      <c r="J77" s="2" t="inlineStr">
        <is>
          <t>https://www.pret.co.uk/en-GB/pret-jobs</t>
        </is>
      </c>
      <c r="K77" s="2" t="inlineStr">
        <is>
          <t>https://www.pret.co.uk/en-GB/pret-jobs</t>
        </is>
      </c>
      <c r="L77" s="2" t="inlineStr">
        <is>
          <t>Favicon / company logo</t>
        </is>
      </c>
      <c r="M77" s="5" t="n">
        <v>46255</v>
      </c>
      <c r="N77" s="2" t="inlineStr">
        <is>
          <t>French: French likely; English useful | English: Required / useful / role-dependent | Student friendly: Yes | Embedded brand mark. Re-check the live job page before applying; vacancies can close or change.</t>
        </is>
      </c>
    </row>
    <row r="78" ht="28.8" customHeight="1">
      <c r="A78" t="e">
        <v>#VALUE!</v>
      </c>
      <c r="B78" s="2" t="inlineStr">
        <is>
          <t>Domino's Pizza</t>
        </is>
      </c>
      <c r="C78" s="2" t="inlineStr">
        <is>
          <t>Part-time</t>
        </is>
      </c>
      <c r="D78" s="2" t="inlineStr">
        <is>
          <t>Paris / Greater Paris</t>
        </is>
      </c>
      <c r="E78" s="2" t="inlineStr">
        <is>
          <t>Not specified</t>
        </is>
      </c>
      <c r="F78" s="2" t="inlineStr">
        <is>
          <t>Food Service / Pizza Delivery</t>
        </is>
      </c>
      <c r="G78" s="2" t="inlineStr">
        <is>
          <t>Delivery / store team</t>
        </is>
      </c>
      <c r="H78" s="2" t="inlineStr">
        <is>
          <t>Paris 13 BNF: Rue Tolbiac, Paris</t>
        </is>
      </c>
      <c r="I78" s="2" t="inlineStr">
        <is>
          <t>🟡 Company recruits part-time; exact current location not verified</t>
        </is>
      </c>
      <c r="J78" s="2" t="inlineStr">
        <is>
          <t>https://www.dominos.fr/recrutement</t>
        </is>
      </c>
      <c r="K78" s="2" t="inlineStr">
        <is>
          <t>https://www.dominos.fr/recrutement</t>
        </is>
      </c>
      <c r="L78" s="2" t="inlineStr">
        <is>
          <t>Favicon / company logo</t>
        </is>
      </c>
      <c r="M78" s="5" t="n">
        <v>46255</v>
      </c>
      <c r="N78" s="2" t="inlineStr">
        <is>
          <t>French: French likely | English: Not specified | Student friendly: Yes | Embedded brand mark. Re-check the live job page before applying; vacancies can close or change.</t>
        </is>
      </c>
    </row>
    <row r="79" ht="28.8" customHeight="1">
      <c r="A79" t="e">
        <v>#VALUE!</v>
      </c>
      <c r="B79" s="2" t="inlineStr">
        <is>
          <t>Domino's Pizza</t>
        </is>
      </c>
      <c r="C79" s="2" t="inlineStr">
        <is>
          <t>Part-time</t>
        </is>
      </c>
      <c r="D79" s="2" t="inlineStr">
        <is>
          <t>Paris / Greater Paris</t>
        </is>
      </c>
      <c r="E79" s="2" t="inlineStr">
        <is>
          <t>Not specified</t>
        </is>
      </c>
      <c r="F79" s="2" t="inlineStr">
        <is>
          <t>Food Service / Pizza Delivery</t>
        </is>
      </c>
      <c r="G79" s="2" t="inlineStr">
        <is>
          <t>Delivery / store team</t>
        </is>
      </c>
      <c r="H79" s="2" t="inlineStr">
        <is>
          <t>Paris 17 - Place des Ternes: Rue Lebon, Paris</t>
        </is>
      </c>
      <c r="I79" s="2" t="inlineStr">
        <is>
          <t>🟡 Company recruits part-time; exact current location not verified</t>
        </is>
      </c>
      <c r="J79" s="2" t="inlineStr">
        <is>
          <t>https://www.dominos.fr/recrutement</t>
        </is>
      </c>
      <c r="K79" s="2" t="inlineStr">
        <is>
          <t>https://www.dominos.fr/recrutement</t>
        </is>
      </c>
      <c r="L79" s="2" t="inlineStr">
        <is>
          <t>Favicon / company logo</t>
        </is>
      </c>
      <c r="M79" s="5" t="n">
        <v>46255</v>
      </c>
      <c r="N79" s="2" t="inlineStr">
        <is>
          <t>French: French likely | English: Not specified | Student friendly: Yes | Embedded brand mark. Re-check the live job page before applying; vacancies can close or change.</t>
        </is>
      </c>
    </row>
    <row r="80" ht="28.8" customHeight="1">
      <c r="A80" t="e">
        <v>#VALUE!</v>
      </c>
      <c r="B80" s="2" t="inlineStr">
        <is>
          <t>Domino's Pizza</t>
        </is>
      </c>
      <c r="C80" s="2" t="inlineStr">
        <is>
          <t>Part-time</t>
        </is>
      </c>
      <c r="D80" s="2" t="inlineStr">
        <is>
          <t>Paris / Greater Paris</t>
        </is>
      </c>
      <c r="E80" s="2" t="inlineStr">
        <is>
          <t>Not specified</t>
        </is>
      </c>
      <c r="F80" s="2" t="inlineStr">
        <is>
          <t>Food Service / Pizza Delivery</t>
        </is>
      </c>
      <c r="G80" s="2" t="inlineStr">
        <is>
          <t>Delivery / store team</t>
        </is>
      </c>
      <c r="H80" s="2" t="inlineStr">
        <is>
          <t>Paris 17 - Batignolles: Rue Legendre, Paris</t>
        </is>
      </c>
      <c r="I80" s="2" t="inlineStr">
        <is>
          <t>🟡 Company recruits part-time; exact current location not verified</t>
        </is>
      </c>
      <c r="J80" s="2" t="inlineStr">
        <is>
          <t>https://www.dominos.fr/recrutement</t>
        </is>
      </c>
      <c r="K80" s="2" t="inlineStr">
        <is>
          <t>https://www.dominos.fr/recrutement</t>
        </is>
      </c>
      <c r="L80" s="2" t="inlineStr">
        <is>
          <t>Favicon / company logo</t>
        </is>
      </c>
      <c r="M80" s="5" t="n">
        <v>46255</v>
      </c>
      <c r="N80" s="2" t="inlineStr">
        <is>
          <t>French: French likely | English: Not specified | Student friendly: Yes | Embedded brand mark. Re-check the live job page before applying; vacancies can close or change.</t>
        </is>
      </c>
    </row>
    <row r="81" ht="28.8" customHeight="1">
      <c r="A81" t="e">
        <v>#VALUE!</v>
      </c>
      <c r="B81" s="2" t="inlineStr">
        <is>
          <t>Domino's Pizza</t>
        </is>
      </c>
      <c r="C81" s="2" t="inlineStr">
        <is>
          <t>Part-time</t>
        </is>
      </c>
      <c r="D81" s="2" t="inlineStr">
        <is>
          <t>Paris / Greater Paris</t>
        </is>
      </c>
      <c r="E81" s="2" t="inlineStr">
        <is>
          <t>Not specified</t>
        </is>
      </c>
      <c r="F81" s="2" t="inlineStr">
        <is>
          <t>Food Service / Pizza Delivery</t>
        </is>
      </c>
      <c r="G81" s="2" t="inlineStr">
        <is>
          <t>Delivery / store team</t>
        </is>
      </c>
      <c r="H81" s="2" t="inlineStr">
        <is>
          <t>Paris 16 South: Rue Bosio, Paris</t>
        </is>
      </c>
      <c r="I81" s="2" t="inlineStr">
        <is>
          <t>🟡 Company recruits part-time; exact current location not verified</t>
        </is>
      </c>
      <c r="J81" s="2" t="inlineStr">
        <is>
          <t>https://www.dominos.fr/recrutement</t>
        </is>
      </c>
      <c r="K81" s="2" t="inlineStr">
        <is>
          <t>https://www.dominos.fr/recrutement</t>
        </is>
      </c>
      <c r="L81" s="2" t="inlineStr">
        <is>
          <t>Favicon / company logo</t>
        </is>
      </c>
      <c r="M81" s="5" t="n">
        <v>46255</v>
      </c>
      <c r="N81" s="2" t="inlineStr">
        <is>
          <t>French: French likely | English: Not specified | Student friendly: Yes | Embedded brand mark. Re-check the live job page before applying; vacancies can close or change.</t>
        </is>
      </c>
    </row>
    <row r="82" ht="28.8" customHeight="1">
      <c r="A82" t="e">
        <v>#VALUE!</v>
      </c>
      <c r="B82" s="2" t="inlineStr">
        <is>
          <t>Domino's Pizza</t>
        </is>
      </c>
      <c r="C82" s="2" t="inlineStr">
        <is>
          <t>Part-time</t>
        </is>
      </c>
      <c r="D82" s="2" t="inlineStr">
        <is>
          <t>Paris / Greater Paris</t>
        </is>
      </c>
      <c r="E82" s="2" t="inlineStr">
        <is>
          <t>Not specified</t>
        </is>
      </c>
      <c r="F82" s="2" t="inlineStr">
        <is>
          <t>Food Service / Pizza Delivery</t>
        </is>
      </c>
      <c r="G82" s="2" t="inlineStr">
        <is>
          <t>Delivery / store team</t>
        </is>
      </c>
      <c r="H82" s="2" t="inlineStr">
        <is>
          <t>Bourg-la-Reine: Avenue du Général Leclerc, Bourg-la-Reine</t>
        </is>
      </c>
      <c r="I82" s="2" t="inlineStr">
        <is>
          <t>🟡 Company recruits part-time; exact current location not verified</t>
        </is>
      </c>
      <c r="J82" s="2" t="inlineStr">
        <is>
          <t>https://www.dominos.fr/recrutement</t>
        </is>
      </c>
      <c r="K82" s="2" t="inlineStr">
        <is>
          <t>https://www.dominos.fr/recrutement</t>
        </is>
      </c>
      <c r="L82" s="2" t="inlineStr">
        <is>
          <t>Favicon / company logo</t>
        </is>
      </c>
      <c r="M82" s="5" t="n">
        <v>46255</v>
      </c>
      <c r="N82" s="2" t="inlineStr">
        <is>
          <t>French: French likely | English: Not specified | Student friendly: Yes | Embedded brand mark. Re-check the live job page before applying; vacancies can close or change.</t>
        </is>
      </c>
    </row>
    <row r="83" ht="28.8" customHeight="1">
      <c r="A83" t="e">
        <v>#VALUE!</v>
      </c>
      <c r="B83" s="2" t="inlineStr">
        <is>
          <t>Domino's Pizza</t>
        </is>
      </c>
      <c r="C83" s="2" t="inlineStr">
        <is>
          <t>Part-time</t>
        </is>
      </c>
      <c r="D83" s="2" t="inlineStr">
        <is>
          <t>Paris / Greater Paris</t>
        </is>
      </c>
      <c r="E83" s="2" t="inlineStr">
        <is>
          <t>Not specified</t>
        </is>
      </c>
      <c r="F83" s="2" t="inlineStr">
        <is>
          <t>Food Service / Pizza Delivery</t>
        </is>
      </c>
      <c r="G83" s="2" t="inlineStr">
        <is>
          <t>Delivery / store team</t>
        </is>
      </c>
      <c r="H83" s="2" t="inlineStr">
        <is>
          <t>Bobigny: Rue de Paris, Bobigny</t>
        </is>
      </c>
      <c r="I83" s="2" t="inlineStr">
        <is>
          <t>🟡 Company recruits part-time; exact current location not verified</t>
        </is>
      </c>
      <c r="J83" s="2" t="inlineStr">
        <is>
          <t>https://www.dominos.fr/recrutement</t>
        </is>
      </c>
      <c r="K83" s="2" t="inlineStr">
        <is>
          <t>https://www.dominos.fr/recrutement</t>
        </is>
      </c>
      <c r="L83" s="2" t="inlineStr">
        <is>
          <t>Favicon / company logo</t>
        </is>
      </c>
      <c r="M83" s="5" t="n">
        <v>46255</v>
      </c>
      <c r="N83" s="2" t="inlineStr">
        <is>
          <t>French: French likely | English: Not specified | Student friendly: Yes | Embedded brand mark. Re-check the live job page before applying; vacancies can close or change.</t>
        </is>
      </c>
    </row>
  </sheetData>
  <autoFilter ref="A1:N8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8" customWidth="1" min="1" max="1"/>
    <col width="22" customWidth="1" min="2" max="2"/>
    <col width="24" customWidth="1" min="3" max="4"/>
    <col width="20" customWidth="1" min="5" max="5"/>
    <col width="28" customWidth="1" min="6" max="6"/>
    <col width="42" customWidth="1" min="7" max="7"/>
    <col width="48" customWidth="1" min="8" max="8"/>
    <col width="30" customWidth="1" min="9" max="9"/>
    <col width="55" customWidth="1" min="10" max="10"/>
    <col width="42" customWidth="1" min="11" max="11"/>
    <col width="24" customWidth="1" min="12" max="12"/>
    <col width="16" customWidth="1" min="13" max="13"/>
    <col width="75" customWidth="1" min="14" max="14"/>
  </cols>
  <sheetData>
    <row r="1" ht="31.95" customHeight="1">
      <c r="A1" s="4" t="inlineStr">
        <is>
          <t>Logo</t>
        </is>
      </c>
      <c r="B1" s="4" t="inlineStr">
        <is>
          <t>Company</t>
        </is>
      </c>
      <c r="C1" s="4" t="inlineStr">
        <is>
          <t>Type</t>
        </is>
      </c>
      <c r="D1" s="4" t="inlineStr">
        <is>
          <t>Area</t>
        </is>
      </c>
      <c r="E1" s="4" t="inlineStr">
        <is>
          <t>Stage</t>
        </is>
      </c>
      <c r="F1" s="4" t="inlineStr">
        <is>
          <t>Sector</t>
        </is>
      </c>
      <c r="G1" s="4" t="inlineStr">
        <is>
          <t>Internship Roles</t>
        </is>
      </c>
      <c r="H1" s="4" t="inlineStr">
        <is>
          <t>Location</t>
        </is>
      </c>
      <c r="I1" s="4" t="inlineStr">
        <is>
          <t>Hiring Status</t>
        </is>
      </c>
      <c r="J1" s="4" t="inlineStr">
        <is>
          <t>Application Link</t>
        </is>
      </c>
      <c r="K1" s="4" t="inlineStr">
        <is>
          <t>Company Website</t>
        </is>
      </c>
      <c r="L1" s="4" t="inlineStr">
        <is>
          <t>Logo Type</t>
        </is>
      </c>
      <c r="M1" s="4" t="inlineStr">
        <is>
          <t>Research Date</t>
        </is>
      </c>
      <c r="N1" s="4" t="inlineStr">
        <is>
          <t>Notes</t>
        </is>
      </c>
    </row>
    <row r="2" ht="43.2" customHeight="1">
      <c r="A2" s="2" t="n"/>
      <c r="B2" s="2" t="inlineStr">
        <is>
          <t>Alan</t>
        </is>
      </c>
      <c r="C2" s="2" t="inlineStr">
        <is>
          <t>Internship</t>
        </is>
      </c>
      <c r="D2" s="2" t="inlineStr">
        <is>
          <t>Paris</t>
        </is>
      </c>
      <c r="E2" s="2" t="inlineStr">
        <is>
          <t>Not specified</t>
        </is>
      </c>
      <c r="F2" s="2" t="inlineStr">
        <is>
          <t>Healthtech / Insurtech</t>
        </is>
      </c>
      <c r="G2" s="2" t="inlineStr">
        <is>
          <t>Software Engineering Intern</t>
        </is>
      </c>
      <c r="H2" s="2" t="inlineStr">
        <is>
          <t>117 Quai de Valmy, 75010 Paris, France</t>
        </is>
      </c>
      <c r="I2" s="2" t="inlineStr">
        <is>
          <t>🟢 Current hiring signal found</t>
        </is>
      </c>
      <c r="J2" s="2" t="inlineStr">
        <is>
          <t>https://jobs.ashbyhq.com/alan/7f88aabb-e05f-4f50-89ce-c33ea3ee02df/</t>
        </is>
      </c>
      <c r="K2" s="2" t="inlineStr">
        <is>
          <t>https://alan.com/careers</t>
        </is>
      </c>
      <c r="L2" s="2" t="inlineStr">
        <is>
          <t>Favicon / company logo</t>
        </is>
      </c>
      <c r="M2" s="5" t="n">
        <v>46255</v>
      </c>
      <c r="N2" s="2" t="inlineStr">
        <is>
          <t>French: French not required; English-friendly | English: Required / useful / role-dependent | Student friendly: Yes | Embedded logo asset. Re-check the live job page before applying; vacancies can close or change.</t>
        </is>
      </c>
    </row>
    <row r="3" ht="28.8" customHeight="1">
      <c r="A3" s="2" t="n"/>
      <c r="B3" s="2" t="inlineStr">
        <is>
          <t>Back Market</t>
        </is>
      </c>
      <c r="C3" s="2" t="inlineStr">
        <is>
          <t>Internship / Apprenticeship</t>
        </is>
      </c>
      <c r="D3" s="2" t="inlineStr">
        <is>
          <t>Paris</t>
        </is>
      </c>
      <c r="E3" s="2" t="inlineStr">
        <is>
          <t>Not specified</t>
        </is>
      </c>
      <c r="F3" s="2" t="inlineStr">
        <is>
          <t>E-commerce / Circular Tech</t>
        </is>
      </c>
      <c r="G3" s="2" t="inlineStr">
        <is>
          <t>Backend Engineer Apprentice / internship pathway</t>
        </is>
      </c>
      <c r="H3" s="2" t="inlineStr">
        <is>
          <t>199 Rue Championnet, 75018 Paris, France</t>
        </is>
      </c>
      <c r="I3" s="2" t="inlineStr">
        <is>
          <t>🟢 Current hiring signal found</t>
        </is>
      </c>
      <c r="J3" s="2" t="inlineStr">
        <is>
          <t>https://jobs.ashbyhq.com/backmarket/fcd2db82-bd03-46aa-929e-ffb4fd94527f</t>
        </is>
      </c>
      <c r="K3" s="2" t="inlineStr">
        <is>
          <t>https://jobs.ashbyhq.com/backmarket</t>
        </is>
      </c>
      <c r="L3" s="2" t="inlineStr">
        <is>
          <t>Favicon / company logo</t>
        </is>
      </c>
      <c r="M3" s="5" t="n">
        <v>46255</v>
      </c>
      <c r="N3" s="2" t="inlineStr">
        <is>
          <t>French: Role-dependent | English: Not specified | Student friendly: Yes | Embedded brand mark. Re-check the live job page before applying; vacancies can close or change.</t>
        </is>
      </c>
    </row>
    <row r="4" ht="43.2" customHeight="1">
      <c r="A4" s="2" t="n"/>
      <c r="B4" s="2" t="inlineStr">
        <is>
          <t>Pigment</t>
        </is>
      </c>
      <c r="C4" s="2" t="inlineStr">
        <is>
          <t>Internship</t>
        </is>
      </c>
      <c r="D4" s="2" t="inlineStr">
        <is>
          <t>Paris</t>
        </is>
      </c>
      <c r="E4" s="2" t="inlineStr">
        <is>
          <t>Not specified</t>
        </is>
      </c>
      <c r="F4" s="2" t="inlineStr">
        <is>
          <t>SaaS</t>
        </is>
      </c>
      <c r="G4" s="2" t="inlineStr">
        <is>
          <t>Business Development / Growth Marketing Intern</t>
        </is>
      </c>
      <c r="H4" s="2" t="inlineStr">
        <is>
          <t>12 Rue Sainte-Cécile, 75009 Paris, France</t>
        </is>
      </c>
      <c r="I4" s="2" t="inlineStr">
        <is>
          <t>🟢 Current hiring signal found</t>
        </is>
      </c>
      <c r="J4" s="2" t="inlineStr">
        <is>
          <t>https://jobs.lever.co/pigment</t>
        </is>
      </c>
      <c r="K4" s="2" t="inlineStr">
        <is>
          <t>https://www.pigment.com/careers</t>
        </is>
      </c>
      <c r="L4" s="2" t="inlineStr">
        <is>
          <t>Favicon / company logo</t>
        </is>
      </c>
      <c r="M4" s="5" t="n">
        <v>46255</v>
      </c>
      <c r="N4" s="2" t="inlineStr">
        <is>
          <t>French: English-first / role-dependent | English: Required / useful / role-dependent | Student friendly: Yes | Embedded brand mark. Re-check the live job page before applying; vacancies can close or change.</t>
        </is>
      </c>
    </row>
    <row r="5" ht="28.8" customHeight="1">
      <c r="A5" s="2" t="n"/>
      <c r="B5" s="2" t="inlineStr">
        <is>
          <t>Qonto</t>
        </is>
      </c>
      <c r="C5" s="2" t="inlineStr">
        <is>
          <t>Internship</t>
        </is>
      </c>
      <c r="D5" s="2" t="inlineStr">
        <is>
          <t>Paris</t>
        </is>
      </c>
      <c r="E5" s="2" t="inlineStr">
        <is>
          <t>Not specified</t>
        </is>
      </c>
      <c r="F5" s="2" t="inlineStr">
        <is>
          <t>Fintech</t>
        </is>
      </c>
      <c r="G5" s="2" t="inlineStr">
        <is>
          <t>Talent / Product Marketing internships</t>
        </is>
      </c>
      <c r="H5" s="2" t="inlineStr">
        <is>
          <t>18 Rue de Navarin, 75009 Paris, France</t>
        </is>
      </c>
      <c r="I5" s="2" t="inlineStr">
        <is>
          <t>🟢 Current hiring signal found</t>
        </is>
      </c>
      <c r="J5" s="2" t="inlineStr">
        <is>
          <t>https://jobs.lever.co/qonto?commitment=Internship</t>
        </is>
      </c>
      <c r="K5" s="2" t="inlineStr">
        <is>
          <t>https://qonto.com/en/careers</t>
        </is>
      </c>
      <c r="L5" s="2" t="inlineStr">
        <is>
          <t>Favicon / company logo</t>
        </is>
      </c>
      <c r="M5" s="5" t="n">
        <v>46255</v>
      </c>
      <c r="N5" s="2" t="inlineStr">
        <is>
          <t>French: Role-dependent | English: Not specified | Student friendly: Yes | Embedded brand mark. Re-check the live job page before applying; vacancies can close or change.</t>
        </is>
      </c>
    </row>
    <row r="6" ht="28.8" customHeight="1">
      <c r="A6" s="2" t="n"/>
      <c r="B6" s="2" t="inlineStr">
        <is>
          <t>Malt</t>
        </is>
      </c>
      <c r="C6" s="2" t="inlineStr">
        <is>
          <t>Internship</t>
        </is>
      </c>
      <c r="D6" s="2" t="inlineStr">
        <is>
          <t>Paris</t>
        </is>
      </c>
      <c r="E6" s="2" t="inlineStr">
        <is>
          <t>Not specified</t>
        </is>
      </c>
      <c r="F6" s="2" t="inlineStr">
        <is>
          <t>SaaS / Future of Work</t>
        </is>
      </c>
      <c r="G6" s="2" t="inlineStr">
        <is>
          <t>Account Management / Analytics internships</t>
        </is>
      </c>
      <c r="H6" s="2" t="inlineStr">
        <is>
          <t>18 Rue Godot de Mauroy, 75009 Paris, France</t>
        </is>
      </c>
      <c r="I6" s="2" t="inlineStr">
        <is>
          <t>🟢 Current hiring signal found</t>
        </is>
      </c>
      <c r="J6" s="2" t="inlineStr">
        <is>
          <t>https://jobs.lever.co/malt?commitment=FR%20Intern</t>
        </is>
      </c>
      <c r="K6" s="2" t="inlineStr">
        <is>
          <t>https://www.malt.com/careers</t>
        </is>
      </c>
      <c r="L6" s="2" t="inlineStr">
        <is>
          <t>Favicon / company logo</t>
        </is>
      </c>
      <c r="M6" s="5" t="n">
        <v>46255</v>
      </c>
      <c r="N6" s="2" t="inlineStr">
        <is>
          <t>French: Role-dependent | English: Not specified | Student friendly: Yes | Embedded logo asset. Re-check the live job page before applying; vacancies can close or change.</t>
        </is>
      </c>
    </row>
    <row r="7" ht="43.2" customHeight="1">
      <c r="A7" s="2" t="n"/>
      <c r="B7" s="2" t="inlineStr">
        <is>
          <t>Skello</t>
        </is>
      </c>
      <c r="C7" s="2" t="inlineStr">
        <is>
          <t>Internship</t>
        </is>
      </c>
      <c r="D7" s="2" t="inlineStr">
        <is>
          <t>Paris 3e</t>
        </is>
      </c>
      <c r="E7" s="2" t="inlineStr">
        <is>
          <t>Not specified</t>
        </is>
      </c>
      <c r="F7" s="2" t="inlineStr">
        <is>
          <t>HR Tech / SaaS</t>
        </is>
      </c>
      <c r="G7" s="2" t="inlineStr">
        <is>
          <t>Growth Marketing Intern</t>
        </is>
      </c>
      <c r="H7" s="2" t="inlineStr">
        <is>
          <t>69 Rue Beaubourg, 75003 Paris, France</t>
        </is>
      </c>
      <c r="I7" s="2" t="inlineStr">
        <is>
          <t>🟢 Current hiring signal found</t>
        </is>
      </c>
      <c r="J7" s="2" t="inlineStr">
        <is>
          <t>https://app.welcometothejungle.com/jobs/30v_UCe_</t>
        </is>
      </c>
      <c r="K7" s="2" t="inlineStr">
        <is>
          <t>https://www.skello.io/</t>
        </is>
      </c>
      <c r="L7" s="2" t="inlineStr">
        <is>
          <t>Favicon / company logo</t>
        </is>
      </c>
      <c r="M7" s="5" t="n">
        <v>46255</v>
      </c>
      <c r="N7" s="2" t="inlineStr">
        <is>
          <t>French: French likely for France-facing work | English: Not specified | Student friendly: Yes | Embedded brand mark. Re-check the live job page before applying; vacancies can close or change.</t>
        </is>
      </c>
    </row>
    <row r="8" ht="43.2" customHeight="1">
      <c r="A8" s="2" t="n"/>
      <c r="B8" s="2" t="inlineStr">
        <is>
          <t>Aircall</t>
        </is>
      </c>
      <c r="C8" s="2" t="inlineStr">
        <is>
          <t>Internship</t>
        </is>
      </c>
      <c r="D8" s="2" t="inlineStr">
        <is>
          <t>Paris 9e</t>
        </is>
      </c>
      <c r="E8" s="2" t="inlineStr">
        <is>
          <t>Not specified</t>
        </is>
      </c>
      <c r="F8" s="2" t="inlineStr">
        <is>
          <t>SaaS / Communications</t>
        </is>
      </c>
      <c r="G8" s="2" t="inlineStr">
        <is>
          <t>Sales Intern – French Market</t>
        </is>
      </c>
      <c r="H8" s="2" t="inlineStr">
        <is>
          <t>11 Rue Saint-Georges, 75009 Paris, France</t>
        </is>
      </c>
      <c r="I8" s="2" t="inlineStr">
        <is>
          <t>🟢 Current hiring signal found</t>
        </is>
      </c>
      <c r="J8" s="2" t="inlineStr">
        <is>
          <t>https://app.welcometothejungle.com/jobs/pziptkOd</t>
        </is>
      </c>
      <c r="K8" s="2" t="inlineStr">
        <is>
          <t>https://aircall.io/careers/</t>
        </is>
      </c>
      <c r="L8" s="2" t="inlineStr">
        <is>
          <t>Favicon / company logo</t>
        </is>
      </c>
      <c r="M8" s="5" t="n">
        <v>46255</v>
      </c>
      <c r="N8" s="2" t="inlineStr">
        <is>
          <t>French: French required for France-facing role; English useful | English: Required / useful / role-dependent | Student friendly: Yes | Embedded logo asset. Re-check the live job page before applying; vacancies can close or change.</t>
        </is>
      </c>
    </row>
    <row r="9" ht="43.2" customHeight="1">
      <c r="A9" s="2" t="n"/>
      <c r="B9" s="2" t="inlineStr">
        <is>
          <t>Voodoo</t>
        </is>
      </c>
      <c r="C9" s="2" t="inlineStr">
        <is>
          <t>Internship</t>
        </is>
      </c>
      <c r="D9" s="2" t="inlineStr">
        <is>
          <t>Paris</t>
        </is>
      </c>
      <c r="E9" s="2" t="inlineStr">
        <is>
          <t>Not specified</t>
        </is>
      </c>
      <c r="F9" s="2" t="inlineStr">
        <is>
          <t>Gaming / Mobile</t>
        </is>
      </c>
      <c r="G9" s="2" t="inlineStr">
        <is>
          <t>Legal / Growth Monetization internships</t>
        </is>
      </c>
      <c r="H9" s="2" t="inlineStr">
        <is>
          <t>20 Rue de Charonne, 75011 Paris, France</t>
        </is>
      </c>
      <c r="I9" s="2" t="inlineStr">
        <is>
          <t>🟢 Current hiring signal found</t>
        </is>
      </c>
      <c r="J9" s="2" t="inlineStr">
        <is>
          <t>https://app.welcometothejungle.com/jobs/zjdEzaXo</t>
        </is>
      </c>
      <c r="K9" s="2" t="inlineStr">
        <is>
          <t>https://voodoo.io/careers</t>
        </is>
      </c>
      <c r="L9" s="2" t="inlineStr">
        <is>
          <t>Favicon / company logo</t>
        </is>
      </c>
      <c r="M9" s="5" t="n">
        <v>46255</v>
      </c>
      <c r="N9" s="2" t="inlineStr">
        <is>
          <t>French: Role-dependent; English common | English: Required / useful / role-dependent | Student friendly: Yes | Embedded logo asset. Re-check the live job page before applying; vacancies can close or change.</t>
        </is>
      </c>
    </row>
    <row r="10" ht="28.8" customHeight="1">
      <c r="A10" s="2" t="n"/>
      <c r="B10" s="2" t="inlineStr">
        <is>
          <t>Quandela</t>
        </is>
      </c>
      <c r="C10" s="2" t="inlineStr">
        <is>
          <t>Internship</t>
        </is>
      </c>
      <c r="D10" s="2" t="inlineStr">
        <is>
          <t>Massy</t>
        </is>
      </c>
      <c r="E10" s="2" t="inlineStr">
        <is>
          <t>Not specified</t>
        </is>
      </c>
      <c r="F10" s="2" t="inlineStr">
        <is>
          <t>Quantum / Deeptech</t>
        </is>
      </c>
      <c r="G10" s="2" t="inlineStr">
        <is>
          <t>HR / Business / Marketing internship</t>
        </is>
      </c>
      <c r="H10" s="2" t="inlineStr">
        <is>
          <t>7 Rue Léonard de Vinci, 91300 Massy, France</t>
        </is>
      </c>
      <c r="I10" s="2" t="inlineStr">
        <is>
          <t>🟢 Current hiring signal found</t>
        </is>
      </c>
      <c r="J10" s="2" t="inlineStr">
        <is>
          <t>https://app.welcometothejungle.com/jobs/Iqqq3Huo</t>
        </is>
      </c>
      <c r="K10" s="2" t="inlineStr">
        <is>
          <t>https://www.quandela.com/</t>
        </is>
      </c>
      <c r="L10" s="2" t="inlineStr">
        <is>
          <t>Favicon / company logo</t>
        </is>
      </c>
      <c r="M10" s="5" t="n">
        <v>46255</v>
      </c>
      <c r="N10" s="2" t="inlineStr">
        <is>
          <t>French: Role-dependent | English: Not specified | Student friendly: Yes | Embedded brand mark. Re-check the live job page before applying; vacancies can close or change.</t>
        </is>
      </c>
    </row>
    <row r="11" ht="43.2" customHeight="1">
      <c r="A11" s="2" t="n"/>
      <c r="B11" s="2" t="inlineStr">
        <is>
          <t>Daisy</t>
        </is>
      </c>
      <c r="C11" s="2" t="inlineStr">
        <is>
          <t>Internship</t>
        </is>
      </c>
      <c r="D11" s="2" t="inlineStr">
        <is>
          <t>Paris 1e</t>
        </is>
      </c>
      <c r="E11" s="2" t="inlineStr">
        <is>
          <t>Not specified</t>
        </is>
      </c>
      <c r="F11" s="2" t="inlineStr">
        <is>
          <t>SaaS / Automation</t>
        </is>
      </c>
      <c r="G11" s="2" t="inlineStr">
        <is>
          <t>Product Builder / No-code internship</t>
        </is>
      </c>
      <c r="H11" s="2" t="inlineStr">
        <is>
          <t>99 Rue du Bac, 75007 Paris, France</t>
        </is>
      </c>
      <c r="I11" s="2" t="inlineStr">
        <is>
          <t>🟢 Current hiring signal found</t>
        </is>
      </c>
      <c r="J11" s="2" t="inlineStr">
        <is>
          <t>https://www.welcometothejungle.com/fr/companies/daisy/jobs/stage-no-code-automatisation-fin-d-etudes-make-api-saas_paris</t>
        </is>
      </c>
      <c r="K11" s="2" t="inlineStr">
        <is>
          <t>https://www.daisyapp.fr/</t>
        </is>
      </c>
      <c r="L11" s="2" t="inlineStr">
        <is>
          <t>Favicon / company logo</t>
        </is>
      </c>
      <c r="M11" s="5" t="n">
        <v>46255</v>
      </c>
      <c r="N11" s="2" t="inlineStr">
        <is>
          <t>French: French likely / role-dependent | English: Not specified | Student friendly: Yes | Embedded logo asset. Re-check the live job page before applying; vacancies can close or change.</t>
        </is>
      </c>
    </row>
    <row r="12" ht="43.2" customHeight="1">
      <c r="A12" s="2" t="n"/>
      <c r="B12" s="2" t="inlineStr">
        <is>
          <t>Roundtable</t>
        </is>
      </c>
      <c r="C12" s="2" t="inlineStr">
        <is>
          <t>Internship</t>
        </is>
      </c>
      <c r="D12" s="2" t="inlineStr">
        <is>
          <t>Paris 2e</t>
        </is>
      </c>
      <c r="E12" s="2" t="inlineStr">
        <is>
          <t>Not specified</t>
        </is>
      </c>
      <c r="F12" s="2" t="inlineStr">
        <is>
          <t>Fintech / Private Markets</t>
        </is>
      </c>
      <c r="G12" s="2" t="inlineStr">
        <is>
          <t>Growth Intern</t>
        </is>
      </c>
      <c r="H12" s="2" t="inlineStr">
        <is>
          <t>60 Rue François 1er, 75008 Paris, France</t>
        </is>
      </c>
      <c r="I12" s="2" t="inlineStr">
        <is>
          <t>🟢 Current hiring signal found</t>
        </is>
      </c>
      <c r="J12" s="2" t="inlineStr">
        <is>
          <t>https://www.welcometothejungle.com/fr/companies/roundtable/jobs/growth-intern_paris</t>
        </is>
      </c>
      <c r="K12" s="2" t="inlineStr">
        <is>
          <t>https://roundtable.eu/</t>
        </is>
      </c>
      <c r="L12" s="2" t="inlineStr">
        <is>
          <t>Favicon / company logo</t>
        </is>
      </c>
      <c r="M12" s="5" t="n">
        <v>46255</v>
      </c>
      <c r="N12" s="2" t="inlineStr">
        <is>
          <t>French: English-first / not specified | English: Required / useful / role-dependent | Student friendly: Yes | Embedded logo asset. Re-check the live job page before applying; vacancies can close or change.</t>
        </is>
      </c>
    </row>
    <row r="13" ht="43.2" customHeight="1">
      <c r="A13" s="2" t="n"/>
      <c r="B13" s="2" t="inlineStr">
        <is>
          <t>Rollee</t>
        </is>
      </c>
      <c r="C13" s="2" t="inlineStr">
        <is>
          <t>Internship</t>
        </is>
      </c>
      <c r="D13" s="2" t="inlineStr">
        <is>
          <t>Paris 8e</t>
        </is>
      </c>
      <c r="E13" s="2" t="inlineStr">
        <is>
          <t>Not specified</t>
        </is>
      </c>
      <c r="F13" s="2" t="inlineStr">
        <is>
          <t>Fintech / Employment Data</t>
        </is>
      </c>
      <c r="G13" s="2" t="inlineStr">
        <is>
          <t>Product &amp; Brand Designer Intern</t>
        </is>
      </c>
      <c r="H13" s="2" t="inlineStr">
        <is>
          <t>25 Rue de Ponthieu, 75008 Paris, France</t>
        </is>
      </c>
      <c r="I13" s="2" t="inlineStr">
        <is>
          <t>🟢 Current hiring signal found</t>
        </is>
      </c>
      <c r="J13" s="2" t="inlineStr">
        <is>
          <t>https://app.welcometothejungle.com/jobs/Y7Hz8eaQ</t>
        </is>
      </c>
      <c r="K13" s="2" t="inlineStr">
        <is>
          <t>https://www.rollee.io/</t>
        </is>
      </c>
      <c r="L13" s="2" t="inlineStr">
        <is>
          <t>Favicon / company logo</t>
        </is>
      </c>
      <c r="M13" s="5" t="n">
        <v>46255</v>
      </c>
      <c r="N13" s="2" t="inlineStr">
        <is>
          <t>French: English likely; role-dependent | English: Required / useful / role-dependent | Student friendly: Yes | Embedded brand mark. Re-check the live job page before applying; vacancies can close or change.</t>
        </is>
      </c>
    </row>
    <row r="14" ht="28.8" customHeight="1">
      <c r="A14" s="2" t="n"/>
      <c r="B14" s="2" t="inlineStr">
        <is>
          <t>Deepomatic</t>
        </is>
      </c>
      <c r="C14" s="2" t="inlineStr">
        <is>
          <t>Internship</t>
        </is>
      </c>
      <c r="D14" s="2" t="inlineStr">
        <is>
          <t>Paris 3e</t>
        </is>
      </c>
      <c r="E14" s="2" t="inlineStr">
        <is>
          <t>Not specified</t>
        </is>
      </c>
      <c r="F14" s="2" t="inlineStr">
        <is>
          <t>AI / Computer Vision</t>
        </is>
      </c>
      <c r="G14" s="2" t="inlineStr">
        <is>
          <t>Solutions Architect Intern</t>
        </is>
      </c>
      <c r="H14" s="2" t="inlineStr">
        <is>
          <t>53 Rue de Turbigo, 75003 Paris, France</t>
        </is>
      </c>
      <c r="I14" s="2" t="inlineStr">
        <is>
          <t>🟢 Current hiring signal found</t>
        </is>
      </c>
      <c r="J14" s="2" t="inlineStr">
        <is>
          <t>https://app.welcometothejungle.com/jobs/-gN5RXKs/company</t>
        </is>
      </c>
      <c r="K14" s="2" t="inlineStr">
        <is>
          <t>https://deepomatic.com/</t>
        </is>
      </c>
      <c r="L14" s="2" t="inlineStr">
        <is>
          <t>Favicon / company logo</t>
        </is>
      </c>
      <c r="M14" s="5" t="n">
        <v>46255</v>
      </c>
      <c r="N14" s="2" t="inlineStr">
        <is>
          <t>French: Role-dependent | English: Not specified | Student friendly: Yes | Embedded logo asset. Re-check the live job page before applying; vacancies can close or change.</t>
        </is>
      </c>
    </row>
    <row r="15" ht="43.2" customHeight="1">
      <c r="A15" s="2" t="n"/>
      <c r="B15" s="2" t="inlineStr">
        <is>
          <t>Wakeo</t>
        </is>
      </c>
      <c r="C15" s="2" t="inlineStr">
        <is>
          <t>Internship</t>
        </is>
      </c>
      <c r="D15" s="2" t="inlineStr">
        <is>
          <t>Paris 9e</t>
        </is>
      </c>
      <c r="E15" s="2" t="inlineStr">
        <is>
          <t>Not specified</t>
        </is>
      </c>
      <c r="F15" s="2" t="inlineStr">
        <is>
          <t>Supply Chain SaaS</t>
        </is>
      </c>
      <c r="G15" s="2" t="inlineStr">
        <is>
          <t>Sales Lead Generation Intern</t>
        </is>
      </c>
      <c r="H15" s="2" t="inlineStr">
        <is>
          <t>6 Rue Auber, 75009 Paris, France</t>
        </is>
      </c>
      <c r="I15" s="2" t="inlineStr">
        <is>
          <t>🟢 Current hiring signal found</t>
        </is>
      </c>
      <c r="J15" s="2" t="inlineStr">
        <is>
          <t>https://app.welcometothejungle.com/jobs/ijcz3uZS/company</t>
        </is>
      </c>
      <c r="K15" s="2" t="inlineStr">
        <is>
          <t>https://wakeo.co/</t>
        </is>
      </c>
      <c r="L15" s="2" t="inlineStr">
        <is>
          <t>Favicon / company logo</t>
        </is>
      </c>
      <c r="M15" s="5" t="n">
        <v>46255</v>
      </c>
      <c r="N15" s="2" t="inlineStr">
        <is>
          <t>French: French likely; English useful | English: Required / useful / role-dependent | Student friendly: Yes | Embedded logo asset. Re-check the live job page before applying; vacancies can close or change.</t>
        </is>
      </c>
    </row>
    <row r="16" ht="28.8" customHeight="1">
      <c r="A16" s="2" t="n"/>
      <c r="B16" s="2" t="inlineStr">
        <is>
          <t>ZEPLUG</t>
        </is>
      </c>
      <c r="C16" s="2" t="inlineStr">
        <is>
          <t>Internship</t>
        </is>
      </c>
      <c r="D16" s="2" t="inlineStr">
        <is>
          <t>Paris 9e</t>
        </is>
      </c>
      <c r="E16" s="2" t="inlineStr">
        <is>
          <t>Not specified</t>
        </is>
      </c>
      <c r="F16" s="2" t="inlineStr">
        <is>
          <t>EV Charging / Climate Tech</t>
        </is>
      </c>
      <c r="G16" s="2" t="inlineStr">
        <is>
          <t>Automation &amp; Innovation Intern</t>
        </is>
      </c>
      <c r="H16" s="2" t="inlineStr">
        <is>
          <t>10 Rue du Faubourg Montmartre, 75009 Paris, France</t>
        </is>
      </c>
      <c r="I16" s="2" t="inlineStr">
        <is>
          <t>🟢 Current hiring signal found</t>
        </is>
      </c>
      <c r="J16" s="2" t="inlineStr">
        <is>
          <t>https://www.welcometothejungle.com/fr/companies/zeplug/jobs/stage-automatisation-et-innovation_paris</t>
        </is>
      </c>
      <c r="K16" s="2" t="inlineStr">
        <is>
          <t>https://www.zeplug.com/</t>
        </is>
      </c>
      <c r="L16" s="2" t="inlineStr">
        <is>
          <t>Favicon / company logo</t>
        </is>
      </c>
      <c r="M16" s="5" t="n">
        <v>46255</v>
      </c>
      <c r="N16" s="2" t="inlineStr">
        <is>
          <t>French: French likely | English: Not specified | Student friendly: Yes | Embedded brand mark. Re-check the live job page before applying; vacancies can close or change.</t>
        </is>
      </c>
    </row>
    <row r="17" ht="28.8" customHeight="1">
      <c r="A17" s="2" t="n"/>
      <c r="B17" s="2" t="inlineStr">
        <is>
          <t>Neosilver</t>
        </is>
      </c>
      <c r="C17" s="2" t="inlineStr">
        <is>
          <t>Internship</t>
        </is>
      </c>
      <c r="D17" s="2" t="inlineStr">
        <is>
          <t>Paris 12e</t>
        </is>
      </c>
      <c r="E17" s="2" t="inlineStr">
        <is>
          <t>Not specified</t>
        </is>
      </c>
      <c r="F17" s="2" t="inlineStr">
        <is>
          <t>Health / SocialTech</t>
        </is>
      </c>
      <c r="G17" s="2" t="inlineStr">
        <is>
          <t>Commercial / Partnerships Internships</t>
        </is>
      </c>
      <c r="H17" s="2" t="inlineStr">
        <is>
          <t>61 Rue de Lyon, 75012 Paris, France</t>
        </is>
      </c>
      <c r="I17" s="2" t="inlineStr">
        <is>
          <t>🟢 Current hiring signal found</t>
        </is>
      </c>
      <c r="J17" s="2" t="inlineStr">
        <is>
          <t>https://www.welcometothejungle.com/en/companies/neosilver/jobs/stage-commercial-e-marches-publics-aap-ao_paris</t>
        </is>
      </c>
      <c r="K17" s="2" t="inlineStr">
        <is>
          <t>https://neosilver.fr/</t>
        </is>
      </c>
      <c r="L17" s="2" t="inlineStr">
        <is>
          <t>Favicon / company logo</t>
        </is>
      </c>
      <c r="M17" s="5" t="n">
        <v>46255</v>
      </c>
      <c r="N17" s="2" t="inlineStr">
        <is>
          <t>French: French likely | English: Not specified | Student friendly: Yes | Embedded logo asset. Re-check the live job page before applying; vacancies can close or change.</t>
        </is>
      </c>
    </row>
    <row r="18" ht="43.2" customHeight="1">
      <c r="A18" s="2" t="n"/>
      <c r="B18" s="2" t="inlineStr">
        <is>
          <t>Estuaire</t>
        </is>
      </c>
      <c r="C18" s="2" t="inlineStr">
        <is>
          <t>Internship</t>
        </is>
      </c>
      <c r="D18" s="2" t="inlineStr">
        <is>
          <t>Paris 3e</t>
        </is>
      </c>
      <c r="E18" s="2" t="inlineStr">
        <is>
          <t>Not specified</t>
        </is>
      </c>
      <c r="F18" s="2" t="inlineStr">
        <is>
          <t>Climate / Aerospace</t>
        </is>
      </c>
      <c r="G18" s="2" t="inlineStr">
        <is>
          <t>Founders Associate / Aerospace Data Science</t>
        </is>
      </c>
      <c r="H18" s="2" t="inlineStr">
        <is>
          <t>10 Rue Réaumur, 75003 Paris, France</t>
        </is>
      </c>
      <c r="I18" s="2" t="inlineStr">
        <is>
          <t>🟢 Current hiring signal found</t>
        </is>
      </c>
      <c r="J18" s="2" t="inlineStr">
        <is>
          <t>https://www.welcometothejungle.com/en/companies/estuaire/jobs/founders-associate-internship-or-apprenticeship_paris</t>
        </is>
      </c>
      <c r="K18" s="2" t="inlineStr">
        <is>
          <t>https://www.estuaire.tech/</t>
        </is>
      </c>
      <c r="L18" s="2" t="inlineStr">
        <is>
          <t>Favicon / company logo</t>
        </is>
      </c>
      <c r="M18" s="5" t="n">
        <v>46255</v>
      </c>
      <c r="N18" s="2" t="inlineStr">
        <is>
          <t>French: English-friendly / role-dependent | English: Required / useful / role-dependent | Student friendly: Yes | Embedded logo asset. Re-check the live job page before applying; vacancies can close or change.</t>
        </is>
      </c>
    </row>
    <row r="19" ht="28.8" customHeight="1">
      <c r="A19" s="2" t="n"/>
      <c r="B19" s="2" t="inlineStr">
        <is>
          <t>Blissim</t>
        </is>
      </c>
      <c r="C19" s="2" t="inlineStr">
        <is>
          <t>Internship</t>
        </is>
      </c>
      <c r="D19" s="2" t="inlineStr">
        <is>
          <t>Paris 9e</t>
        </is>
      </c>
      <c r="E19" s="2" t="inlineStr">
        <is>
          <t>Not specified</t>
        </is>
      </c>
      <c r="F19" s="2" t="inlineStr">
        <is>
          <t>Beauty / E-commerce</t>
        </is>
      </c>
      <c r="G19" s="2" t="inlineStr">
        <is>
          <t>Supply Chain &amp; Data Engineering Intern</t>
        </is>
      </c>
      <c r="H19" s="2" t="inlineStr">
        <is>
          <t>10 Rue du Faubourg-Montmartre, 75009 Paris, France</t>
        </is>
      </c>
      <c r="I19" s="2" t="inlineStr">
        <is>
          <t>🟢 Current hiring signal found</t>
        </is>
      </c>
      <c r="J19" s="2" t="inlineStr">
        <is>
          <t>https://www.welcometothejungle.com/fr/companies/blissim/jobs/stage-ingenieur-data-amelioration-continue_paris</t>
        </is>
      </c>
      <c r="K19" s="2" t="inlineStr">
        <is>
          <t>https://blissim.fr/</t>
        </is>
      </c>
      <c r="L19" s="2" t="inlineStr">
        <is>
          <t>Favicon / company logo</t>
        </is>
      </c>
      <c r="M19" s="5" t="n">
        <v>46255</v>
      </c>
      <c r="N19" s="2" t="inlineStr">
        <is>
          <t>French: Role-dependent | English: Not specified | Student friendly: Yes | Embedded logo asset. Re-check the live job page before applying; vacancies can close or change.</t>
        </is>
      </c>
    </row>
    <row r="20" ht="43.2" customHeight="1">
      <c r="A20" s="2" t="n"/>
      <c r="B20" s="2" t="inlineStr">
        <is>
          <t>Doctolib</t>
        </is>
      </c>
      <c r="C20" s="2" t="inlineStr">
        <is>
          <t>Internship</t>
        </is>
      </c>
      <c r="D20" s="2" t="inlineStr">
        <is>
          <t>Levallois-Perret</t>
        </is>
      </c>
      <c r="E20" s="2" t="inlineStr">
        <is>
          <t>Not specified</t>
        </is>
      </c>
      <c r="F20" s="2" t="inlineStr">
        <is>
          <t>Healthtech</t>
        </is>
      </c>
      <c r="G20" s="2" t="inlineStr">
        <is>
          <t>Consolidation &amp; Financial Control Internship</t>
        </is>
      </c>
      <c r="H20" s="2" t="inlineStr">
        <is>
          <t>54 Quai Charles Pasqua, 92300 Levallois-Perret, France</t>
        </is>
      </c>
      <c r="I20" s="2" t="inlineStr">
        <is>
          <t>🟢 Current hiring signal found</t>
        </is>
      </c>
      <c r="J20" s="2" t="inlineStr">
        <is>
          <t>https://www.welcometothejungle.com/fr/companies/doctolib/jobs/stage-consolidation-et-controle-financier-x-f-m-septembre-2026_paris</t>
        </is>
      </c>
      <c r="K20" s="2" t="inlineStr">
        <is>
          <t>https://careers.doctolib.fr/</t>
        </is>
      </c>
      <c r="L20" s="2" t="inlineStr">
        <is>
          <t>Favicon / company logo</t>
        </is>
      </c>
      <c r="M20" s="5" t="n">
        <v>46255</v>
      </c>
      <c r="N20" s="2" t="inlineStr">
        <is>
          <t>French: French + English role-dependent | English: Required / useful / role-dependent | Student friendly: Yes | Embedded logo asset. Re-check the live job page before applying; vacancies can close or change.</t>
        </is>
      </c>
    </row>
    <row r="21" ht="43.2" customHeight="1">
      <c r="A21" s="2" t="n"/>
      <c r="B21" s="2" t="inlineStr">
        <is>
          <t>Garantme</t>
        </is>
      </c>
      <c r="C21" s="2" t="inlineStr">
        <is>
          <t>Internship</t>
        </is>
      </c>
      <c r="D21" s="2" t="inlineStr">
        <is>
          <t>Paris 2e</t>
        </is>
      </c>
      <c r="E21" s="2" t="inlineStr">
        <is>
          <t>Not specified</t>
        </is>
      </c>
      <c r="F21" s="2" t="inlineStr">
        <is>
          <t>Fintech / Insurtech</t>
        </is>
      </c>
      <c r="G21" s="2" t="inlineStr">
        <is>
          <t>Business Development &amp; Sales Intern</t>
        </is>
      </c>
      <c r="H21" s="2" t="inlineStr">
        <is>
          <t>9 Rue des Colonnes, 75002 Paris, France</t>
        </is>
      </c>
      <c r="I21" s="2" t="inlineStr">
        <is>
          <t>🟢 Current hiring signal found</t>
        </is>
      </c>
      <c r="J21" s="2" t="inlineStr">
        <is>
          <t>https://www.welcometothejungle.com/fr/companies/garantme-1/jobs/business-development-and-sales-stage-6-mois-debut-septembre-2026_paris</t>
        </is>
      </c>
      <c r="K21" s="2" t="inlineStr">
        <is>
          <t>https://garantme.fr/</t>
        </is>
      </c>
      <c r="L21" s="2" t="inlineStr">
        <is>
          <t>Favicon / company logo</t>
        </is>
      </c>
      <c r="M21" s="5" t="n">
        <v>46255</v>
      </c>
      <c r="N21" s="2" t="inlineStr">
        <is>
          <t>French: French likely for sales; English useful | English: Required / useful / role-dependent | Student friendly: Yes | Embedded logo asset. Re-check the live job page before applying; vacancies can close or change.</t>
        </is>
      </c>
    </row>
    <row r="22" ht="28.8" customHeight="1">
      <c r="A22" s="2" t="n"/>
      <c r="B22" s="2" t="inlineStr">
        <is>
          <t>TABOBINE</t>
        </is>
      </c>
      <c r="C22" s="2" t="inlineStr">
        <is>
          <t>Internship</t>
        </is>
      </c>
      <c r="D22" s="2" t="inlineStr">
        <is>
          <t>Paris 1e</t>
        </is>
      </c>
      <c r="E22" s="2" t="inlineStr">
        <is>
          <t>Not specified</t>
        </is>
      </c>
      <c r="F22" s="2" t="inlineStr">
        <is>
          <t>Innovation / Hardware</t>
        </is>
      </c>
      <c r="G22" s="2" t="inlineStr">
        <is>
          <t>Innovation Engineer Intern</t>
        </is>
      </c>
      <c r="H22" s="2" t="inlineStr">
        <is>
          <t>La Fête, 3 Place de Clichy, 75008 Paris, France</t>
        </is>
      </c>
      <c r="I22" s="2" t="inlineStr">
        <is>
          <t>🟢 Current hiring signal found</t>
        </is>
      </c>
      <c r="J22" s="2" t="inlineStr">
        <is>
          <t>https://www.welcometothejungle.com/fr/companies/tabobine/jobs/stage-ingenieur-e-innovation_paris_TABOB_Rlr7lgy</t>
        </is>
      </c>
      <c r="K22" s="2" t="inlineStr">
        <is>
          <t>https://tabobine.com/</t>
        </is>
      </c>
      <c r="L22" s="2" t="inlineStr">
        <is>
          <t>Favicon / company logo</t>
        </is>
      </c>
      <c r="M22" s="5" t="n">
        <v>46255</v>
      </c>
      <c r="N22" s="2" t="inlineStr">
        <is>
          <t>French: Role-dependent | English: Not specified | Student friendly: Yes | Embedded logo asset. Re-check the live job page before applying; vacancies can close or change.</t>
        </is>
      </c>
    </row>
    <row r="23" ht="43.2" customHeight="1">
      <c r="A23" s="2" t="n"/>
      <c r="B23" s="2" t="inlineStr">
        <is>
          <t>Proton</t>
        </is>
      </c>
      <c r="C23" s="2" t="inlineStr">
        <is>
          <t>Internship</t>
        </is>
      </c>
      <c r="D23" s="2" t="inlineStr">
        <is>
          <t>Paris</t>
        </is>
      </c>
      <c r="E23" s="2" t="inlineStr">
        <is>
          <t>Not specified</t>
        </is>
      </c>
      <c r="F23" s="2" t="inlineStr">
        <is>
          <t>Cybersecurity / Privacy</t>
        </is>
      </c>
      <c r="G23" s="2" t="inlineStr">
        <is>
          <t>iOS Software Engineer Intern</t>
        </is>
      </c>
      <c r="H23" s="2" t="inlineStr">
        <is>
          <t>1 Parv. de la Défense, 92800 Puteaux, France</t>
        </is>
      </c>
      <c r="I23" s="2" t="inlineStr">
        <is>
          <t>🟢 Current hiring signal found</t>
        </is>
      </c>
      <c r="J23" s="2" t="inlineStr">
        <is>
          <t>https://app.welcometothejungle.com/jobs/ZOukbc16</t>
        </is>
      </c>
      <c r="K23" s="2" t="inlineStr">
        <is>
          <t>https://proton.me/careers</t>
        </is>
      </c>
      <c r="L23" s="2" t="inlineStr">
        <is>
          <t>Favicon / company logo</t>
        </is>
      </c>
      <c r="M23" s="5" t="n">
        <v>46255</v>
      </c>
      <c r="N23" s="2" t="inlineStr">
        <is>
          <t>French: English-friendly / role-dependent | English: Required / useful / role-dependent | Student friendly: Yes | Embedded logo asset. Re-check the live job page before applying; vacancies can close or change.</t>
        </is>
      </c>
    </row>
    <row r="24" ht="43.2" customHeight="1">
      <c r="A24" s="2" t="n"/>
      <c r="B24" s="2" t="inlineStr">
        <is>
          <t>OneFlash</t>
        </is>
      </c>
      <c r="C24" s="2" t="inlineStr">
        <is>
          <t>Internship</t>
        </is>
      </c>
      <c r="D24" s="2" t="inlineStr">
        <is>
          <t>Aulnay-sous-Bois / Greater Paris</t>
        </is>
      </c>
      <c r="E24" s="2" t="inlineStr">
        <is>
          <t>Not specified</t>
        </is>
      </c>
      <c r="F24" s="2" t="inlineStr">
        <is>
          <t>Mobility / SaaS</t>
        </is>
      </c>
      <c r="G24" s="2" t="inlineStr">
        <is>
          <t>International Development / Finance &amp; Operations</t>
        </is>
      </c>
      <c r="H24" s="2" t="inlineStr">
        <is>
          <t>7 Place de l'Hôtel de Ville, 93600 Aulnay-sous-Bois, France</t>
        </is>
      </c>
      <c r="I24" s="2" t="inlineStr">
        <is>
          <t>🟢 Current hiring signal found</t>
        </is>
      </c>
      <c r="J24" s="2" t="inlineStr">
        <is>
          <t>https://www.welcometothejungle.com/en/companies/oneflash/jobs/stage-international-development_paris</t>
        </is>
      </c>
      <c r="K24" s="2" t="inlineStr">
        <is>
          <t>https://oneflash.co/</t>
        </is>
      </c>
      <c r="L24" s="2" t="inlineStr">
        <is>
          <t>Favicon / company logo</t>
        </is>
      </c>
      <c r="M24" s="5" t="n">
        <v>46255</v>
      </c>
      <c r="N24" s="2" t="inlineStr">
        <is>
          <t>French: English/French role-dependent | English: Required / useful / role-dependent | Student friendly: Yes | Embedded logo asset. Re-check the live job page before applying; vacancies can close or change.</t>
        </is>
      </c>
    </row>
    <row r="25" ht="43.2" customHeight="1">
      <c r="A25" s="2" t="n"/>
      <c r="B25" s="2" t="inlineStr">
        <is>
          <t>Joko</t>
        </is>
      </c>
      <c r="C25" s="2" t="inlineStr">
        <is>
          <t>Internship</t>
        </is>
      </c>
      <c r="D25" s="2" t="inlineStr">
        <is>
          <t>Paris</t>
        </is>
      </c>
      <c r="E25" s="2" t="inlineStr">
        <is>
          <t>Not specified</t>
        </is>
      </c>
      <c r="F25" s="2" t="inlineStr">
        <is>
          <t>Fintech / Consumer</t>
        </is>
      </c>
      <c r="G25" s="2" t="inlineStr">
        <is>
          <t>Business Associate Intern – Card-Linked</t>
        </is>
      </c>
      <c r="H25" s="2" t="inlineStr">
        <is>
          <t>3 impasse de la Planchette, 75003 Paris, France</t>
        </is>
      </c>
      <c r="I25" s="2" t="inlineStr">
        <is>
          <t>🟢 Current hiring signal found</t>
        </is>
      </c>
      <c r="J25" s="2" t="inlineStr">
        <is>
          <t>https://jobs.ashbyhq.com/joko/6e4e15ea-7d8e-4a02-b175-f536c14c3974</t>
        </is>
      </c>
      <c r="K25" s="2" t="inlineStr">
        <is>
          <t>https://joko.com/</t>
        </is>
      </c>
      <c r="L25" s="2" t="inlineStr">
        <is>
          <t>Favicon / company logo</t>
        </is>
      </c>
      <c r="M25" s="5" t="n">
        <v>46255</v>
      </c>
      <c r="N25" s="2" t="inlineStr">
        <is>
          <t>French: French + English bilingual required | English: Required / useful / role-dependent | Student friendly: Yes | Embedded brand mark. Re-check the live job page before applying; vacancies can close or change.</t>
        </is>
      </c>
    </row>
    <row r="26" ht="43.2" customHeight="1">
      <c r="A26" s="2" t="n"/>
      <c r="B26" s="2" t="inlineStr">
        <is>
          <t>Singulier</t>
        </is>
      </c>
      <c r="C26" s="2" t="inlineStr">
        <is>
          <t>Internship</t>
        </is>
      </c>
      <c r="D26" s="2" t="inlineStr">
        <is>
          <t>Paris</t>
        </is>
      </c>
      <c r="E26" s="2" t="inlineStr">
        <is>
          <t>Not specified</t>
        </is>
      </c>
      <c r="F26" s="2" t="inlineStr">
        <is>
          <t>Consulting / Data / AI</t>
        </is>
      </c>
      <c r="G26" s="2" t="inlineStr">
        <is>
          <t>Data Analytics Intern</t>
        </is>
      </c>
      <c r="H26" s="2" t="inlineStr">
        <is>
          <t>20 rue Nicolo, 75016 Paris, France</t>
        </is>
      </c>
      <c r="I26" s="2" t="inlineStr">
        <is>
          <t>🟢 Current hiring signal found</t>
        </is>
      </c>
      <c r="J26" s="2" t="inlineStr">
        <is>
          <t>https://apply.workable.com/singulier/j/40E90AAB17</t>
        </is>
      </c>
      <c r="K26" s="2" t="inlineStr">
        <is>
          <t>https://singulier.co/</t>
        </is>
      </c>
      <c r="L26" s="2" t="inlineStr">
        <is>
          <t>Favicon / company logo</t>
        </is>
      </c>
      <c r="M26" s="5" t="n">
        <v>46255</v>
      </c>
      <c r="N26" s="2" t="inlineStr">
        <is>
          <t>French: English fluent; French strongly preferred | English: Required / useful / role-dependent | Student friendly: Yes | Embedded brand mark. Re-check the live job page before applying; vacancies can close or change.</t>
        </is>
      </c>
    </row>
    <row r="27" ht="43.2" customHeight="1">
      <c r="A27" s="2" t="n"/>
      <c r="B27" s="2" t="inlineStr">
        <is>
          <t>Front</t>
        </is>
      </c>
      <c r="C27" s="2" t="inlineStr">
        <is>
          <t>Internship</t>
        </is>
      </c>
      <c r="D27" s="2" t="inlineStr">
        <is>
          <t>Paris</t>
        </is>
      </c>
      <c r="E27" s="2" t="inlineStr">
        <is>
          <t>Not specified</t>
        </is>
      </c>
      <c r="F27" s="2" t="inlineStr">
        <is>
          <t>SaaS / Customer Communication</t>
        </is>
      </c>
      <c r="G27" s="2" t="inlineStr">
        <is>
          <t>Software Engineering Intern</t>
        </is>
      </c>
      <c r="H27" s="2" t="inlineStr">
        <is>
          <t>35 Rue Greneta, 75002 Paris, France (6th floor)</t>
        </is>
      </c>
      <c r="I27" s="2" t="inlineStr">
        <is>
          <t>🟢 Current hiring signal found</t>
        </is>
      </c>
      <c r="J27" s="2" t="inlineStr">
        <is>
          <t>https://jobs.ashbyhq.com/frontcareers/1026a32c-f8cc-4eee-992b-bacdf771d9fc</t>
        </is>
      </c>
      <c r="K27" s="2" t="inlineStr">
        <is>
          <t>https://front.com/careers</t>
        </is>
      </c>
      <c r="L27" s="2" t="inlineStr">
        <is>
          <t>Favicon / company logo</t>
        </is>
      </c>
      <c r="M27" s="5" t="n">
        <v>46255</v>
      </c>
      <c r="N27" s="2" t="inlineStr">
        <is>
          <t>French: Full English proficiency; English-speaking company | English: Required / useful / role-dependent | Student friendly: Yes | Embedded brand mark. Re-check the live job page before applying; vacancies can close or change.</t>
        </is>
      </c>
    </row>
    <row r="28" ht="43.2" customHeight="1">
      <c r="A28" s="2" t="n"/>
      <c r="B28" s="2" t="inlineStr">
        <is>
          <t>Corma</t>
        </is>
      </c>
      <c r="C28" s="2" t="inlineStr">
        <is>
          <t>Internship</t>
        </is>
      </c>
      <c r="D28" s="2" t="inlineStr">
        <is>
          <t>Paris</t>
        </is>
      </c>
      <c r="E28" s="2" t="inlineStr">
        <is>
          <t>Not specified</t>
        </is>
      </c>
      <c r="F28" s="2" t="inlineStr">
        <is>
          <t>AI / SaaS</t>
        </is>
      </c>
      <c r="G28" s="2" t="inlineStr">
        <is>
          <t>Founders Associate Intern</t>
        </is>
      </c>
      <c r="H28" s="2" t="inlineStr">
        <is>
          <t>Station F: 5 Parvis Alan Turing, 75013 Paris</t>
        </is>
      </c>
      <c r="I28" s="2" t="inlineStr">
        <is>
          <t>🟢 Current hiring signal found</t>
        </is>
      </c>
      <c r="J28" s="2" t="inlineStr">
        <is>
          <t>https://jobs.stationf.co/companies/corma/jobs/founders-associate-internship-right-hand-to-the-ceo-january-2027_paris</t>
        </is>
      </c>
      <c r="K28" s="2" t="inlineStr">
        <is>
          <t>https://stationf.co/</t>
        </is>
      </c>
      <c r="L28" s="2" t="inlineStr">
        <is>
          <t>Favicon / company logo</t>
        </is>
      </c>
      <c r="M28" s="5" t="n">
        <v>46255</v>
      </c>
      <c r="N28" s="2" t="inlineStr">
        <is>
          <t>French: Professional French + English required | English: Required / useful / role-dependent | Student friendly: Yes | Embedded brand mark. Re-check the live job page before applying; vacancies can close or change.</t>
        </is>
      </c>
    </row>
    <row r="29" ht="43.2" customHeight="1">
      <c r="A29" s="2" t="n"/>
      <c r="B29" s="2" t="inlineStr">
        <is>
          <t>MatR</t>
        </is>
      </c>
      <c r="C29" s="2" t="inlineStr">
        <is>
          <t>Internship</t>
        </is>
      </c>
      <c r="D29" s="2" t="inlineStr">
        <is>
          <t>Paris / Station F</t>
        </is>
      </c>
      <c r="E29" s="2" t="inlineStr">
        <is>
          <t>Not specified</t>
        </is>
      </c>
      <c r="F29" s="2" t="inlineStr">
        <is>
          <t>Data / SaaS</t>
        </is>
      </c>
      <c r="G29" s="2" t="inlineStr">
        <is>
          <t>Sales Development Representative Intern</t>
        </is>
      </c>
      <c r="H29" s="2" t="inlineStr">
        <is>
          <t>Station F, 5 Parvis Alan Turing, 75013 Paris, France</t>
        </is>
      </c>
      <c r="I29" s="2" t="inlineStr">
        <is>
          <t>🟢 Current hiring signal found</t>
        </is>
      </c>
      <c r="J29" s="2" t="inlineStr">
        <is>
          <t>https://jobs.stationf.co/companies/matr/jobs/sales-development-representative-internship-m-f-x-matr_paris</t>
        </is>
      </c>
      <c r="K29" s="2" t="inlineStr">
        <is>
          <t>https://stationf.co/</t>
        </is>
      </c>
      <c r="L29" s="2" t="inlineStr">
        <is>
          <t>Favicon / company logo</t>
        </is>
      </c>
      <c r="M29" s="5" t="n">
        <v>46255</v>
      </c>
      <c r="N29" s="2" t="inlineStr">
        <is>
          <t>French: French + English required for outreach | English: Required / useful / role-dependent | Student friendly: Yes | Embedded brand mark. Re-check the live job page before applying; vacancies can close or change.</t>
        </is>
      </c>
    </row>
    <row r="30" ht="43.2" customHeight="1">
      <c r="A30" s="2" t="n"/>
      <c r="B30" s="2" t="inlineStr">
        <is>
          <t>TikTok</t>
        </is>
      </c>
      <c r="C30" s="2" t="inlineStr">
        <is>
          <t>Internship</t>
        </is>
      </c>
      <c r="D30" s="2" t="inlineStr">
        <is>
          <t>Paris</t>
        </is>
      </c>
      <c r="E30" s="2" t="inlineStr">
        <is>
          <t>Not specified</t>
        </is>
      </c>
      <c r="F30" s="2" t="inlineStr">
        <is>
          <t>Social / E-commerce</t>
        </is>
      </c>
      <c r="G30" s="2" t="inlineStr">
        <is>
          <t>Account Manager Project Intern – TikTok Shop France</t>
        </is>
      </c>
      <c r="H30" s="2" t="inlineStr">
        <is>
          <t>21 Rue d'Uzès, 75002 Paris, France</t>
        </is>
      </c>
      <c r="I30" s="2" t="inlineStr">
        <is>
          <t>🟢 Current hiring signal found</t>
        </is>
      </c>
      <c r="J30" s="2" t="inlineStr">
        <is>
          <t>https://lifeattiktok.com/search?keyword=TikTok%20Shop%20France</t>
        </is>
      </c>
      <c r="K30" s="2" t="inlineStr">
        <is>
          <t>https://www.tiktok.com/careers</t>
        </is>
      </c>
      <c r="L30" s="2" t="inlineStr">
        <is>
          <t>Favicon / company logo</t>
        </is>
      </c>
      <c r="M30" s="5" t="n">
        <v>46255</v>
      </c>
      <c r="N30" s="2" t="inlineStr">
        <is>
          <t>French: English required; Chinese required for selected role | English: Required / useful / role-dependent | Student friendly: Yes | Embedded brand mark. Re-check the live job page before applying; vacancies can close or change.</t>
        </is>
      </c>
    </row>
    <row r="31" ht="43.2" customHeight="1">
      <c r="A31" s="2" t="n"/>
      <c r="B31" s="2" t="inlineStr">
        <is>
          <t>Mistral AI</t>
        </is>
      </c>
      <c r="C31" s="2" t="inlineStr">
        <is>
          <t>Full-time</t>
        </is>
      </c>
      <c r="D31" s="2" t="inlineStr">
        <is>
          <t>Paris</t>
        </is>
      </c>
      <c r="E31" s="2" t="inlineStr">
        <is>
          <t>Not specified</t>
        </is>
      </c>
      <c r="F31" s="2" t="inlineStr">
        <is>
          <t>AI / SaaS</t>
        </is>
      </c>
      <c r="G31" s="2" t="inlineStr">
        <is>
          <t>AI Engineer, Product</t>
        </is>
      </c>
      <c r="H31" s="2" t="inlineStr">
        <is>
          <t>15 Rue des Renaudes, 75017 Paris, France</t>
        </is>
      </c>
      <c r="I31" s="2" t="inlineStr">
        <is>
          <t>🟢 Current hiring signal found</t>
        </is>
      </c>
      <c r="J31" s="2" t="inlineStr">
        <is>
          <t>https://jobs.ashbyhq.com/mistral.ai/50c74749-9fbc-471f-a647-f6cd22423ccf</t>
        </is>
      </c>
      <c r="K31" s="2" t="inlineStr">
        <is>
          <t>https://mistral.ai/careers/</t>
        </is>
      </c>
      <c r="L31" s="2" t="inlineStr">
        <is>
          <t>Favicon / company logo</t>
        </is>
      </c>
      <c r="M31" s="5" t="n">
        <v>46255</v>
      </c>
      <c r="N31" s="2" t="inlineStr">
        <is>
          <t>French: English-first / role-dependent | English: Required / useful / role-dependent | Student friendly: Yes | Embedded brand mark. Re-check the live job page before applying; vacancies can close or change.</t>
        </is>
      </c>
    </row>
    <row r="32" ht="43.2" customHeight="1">
      <c r="A32" s="2" t="n"/>
      <c r="B32" s="2" t="inlineStr">
        <is>
          <t>Alan</t>
        </is>
      </c>
      <c r="C32" s="2" t="inlineStr">
        <is>
          <t>Full-time</t>
        </is>
      </c>
      <c r="D32" s="2" t="inlineStr">
        <is>
          <t>Paris</t>
        </is>
      </c>
      <c r="E32" s="2" t="inlineStr">
        <is>
          <t>Not specified</t>
        </is>
      </c>
      <c r="F32" s="2" t="inlineStr">
        <is>
          <t>Healthtech / Insurtech</t>
        </is>
      </c>
      <c r="G32" s="2" t="inlineStr">
        <is>
          <t>Marketing Operations</t>
        </is>
      </c>
      <c r="H32" s="2" t="inlineStr">
        <is>
          <t>117 Quai de Valmy, 75010 Paris, France</t>
        </is>
      </c>
      <c r="I32" s="2" t="inlineStr">
        <is>
          <t>🟢 Current hiring signal found</t>
        </is>
      </c>
      <c r="J32" s="2" t="inlineStr">
        <is>
          <t>https://jobs.ashbyhq.com/alan/c1910999-3e09-4d2e-8bac-e8a31eccd438</t>
        </is>
      </c>
      <c r="K32" s="2" t="inlineStr">
        <is>
          <t>https://alan.com/careers</t>
        </is>
      </c>
      <c r="L32" s="2" t="inlineStr">
        <is>
          <t>Favicon / company logo</t>
        </is>
      </c>
      <c r="M32" s="5" t="n">
        <v>46255</v>
      </c>
      <c r="N32" s="2" t="inlineStr">
        <is>
          <t>French: English required; French role-dependent | English: Required / useful / role-dependent | Student friendly: No | Embedded logo asset. Re-check the live job page before applying; vacancies can close or change.</t>
        </is>
      </c>
    </row>
    <row r="33" ht="28.8" customHeight="1">
      <c r="A33" s="2" t="n"/>
      <c r="B33" s="2" t="inlineStr">
        <is>
          <t>Back Market</t>
        </is>
      </c>
      <c r="C33" s="2" t="inlineStr">
        <is>
          <t>Full-time</t>
        </is>
      </c>
      <c r="D33" s="2" t="inlineStr">
        <is>
          <t>Paris</t>
        </is>
      </c>
      <c r="E33" s="2" t="inlineStr">
        <is>
          <t>Not specified</t>
        </is>
      </c>
      <c r="F33" s="2" t="inlineStr">
        <is>
          <t>E-commerce / Circular Tech</t>
        </is>
      </c>
      <c r="G33" s="2" t="inlineStr">
        <is>
          <t>Global Talent Scout</t>
        </is>
      </c>
      <c r="H33" s="2" t="inlineStr">
        <is>
          <t>199 Rue Championnet, 75018 Paris, France</t>
        </is>
      </c>
      <c r="I33" s="2" t="inlineStr">
        <is>
          <t>🟢 Current hiring signal found</t>
        </is>
      </c>
      <c r="J33" s="2" t="inlineStr">
        <is>
          <t>https://jobs.ashbyhq.com/backmarket/0d996099-3de0-418a-87ff-cc0f4e32407e</t>
        </is>
      </c>
      <c r="K33" s="2" t="inlineStr">
        <is>
          <t>https://jobs.ashbyhq.com/backmarket</t>
        </is>
      </c>
      <c r="L33" s="2" t="inlineStr">
        <is>
          <t>Favicon / company logo</t>
        </is>
      </c>
      <c r="M33" s="5" t="n">
        <v>46255</v>
      </c>
      <c r="N33" s="2" t="inlineStr">
        <is>
          <t>French: Role-dependent | English: Not specified | Student friendly: No | Embedded brand mark. Re-check the live job page before applying; vacancies can close or change.</t>
        </is>
      </c>
    </row>
    <row r="34" ht="43.2" customHeight="1">
      <c r="A34" s="2" t="n"/>
      <c r="B34" s="2" t="inlineStr">
        <is>
          <t>Upflow</t>
        </is>
      </c>
      <c r="C34" s="2" t="inlineStr">
        <is>
          <t>Full-time</t>
        </is>
      </c>
      <c r="D34" s="2" t="inlineStr">
        <is>
          <t>Paris</t>
        </is>
      </c>
      <c r="E34" s="2" t="inlineStr">
        <is>
          <t>Not specified</t>
        </is>
      </c>
      <c r="F34" s="2" t="inlineStr">
        <is>
          <t>Fintech / SaaS</t>
        </is>
      </c>
      <c r="G34" s="2" t="inlineStr">
        <is>
          <t>Account Executive – EMEA, English Speaking</t>
        </is>
      </c>
      <c r="H34" s="2" t="inlineStr">
        <is>
          <t>64-66 Rue des Archives, 75003 Paris, France</t>
        </is>
      </c>
      <c r="I34" s="2" t="inlineStr">
        <is>
          <t>🟢 Current hiring signal found</t>
        </is>
      </c>
      <c r="J34" s="2" t="inlineStr">
        <is>
          <t>https://jobs.ashbyhq.com/upflow/d25957b8-1838-4d2f-b567-9d569289fb68</t>
        </is>
      </c>
      <c r="K34" s="2" t="inlineStr">
        <is>
          <t>https://upflow.io/careers</t>
        </is>
      </c>
      <c r="L34" s="2" t="inlineStr">
        <is>
          <t>Favicon / company logo</t>
        </is>
      </c>
      <c r="M34" s="5" t="n">
        <v>46255</v>
      </c>
      <c r="N34" s="2" t="inlineStr">
        <is>
          <t>French: English required; French not required for selected role | English: Required / useful / role-dependent | Student friendly: No | Embedded brand mark. Re-check the live job page before applying; vacancies can close or change.</t>
        </is>
      </c>
    </row>
    <row r="35" ht="43.2" customHeight="1">
      <c r="A35" s="2" t="n"/>
      <c r="B35" s="2" t="inlineStr">
        <is>
          <t>Inato</t>
        </is>
      </c>
      <c r="C35" s="2" t="inlineStr">
        <is>
          <t>Full-time</t>
        </is>
      </c>
      <c r="D35" s="2" t="inlineStr">
        <is>
          <t>Paris / Remote France</t>
        </is>
      </c>
      <c r="E35" s="2" t="inlineStr">
        <is>
          <t>Not specified</t>
        </is>
      </c>
      <c r="F35" s="2" t="inlineStr">
        <is>
          <t>Healthtech / Clinical Research</t>
        </is>
      </c>
      <c r="G35" s="2" t="inlineStr">
        <is>
          <t>Senior Analytics Engineer, Product</t>
        </is>
      </c>
      <c r="H35" s="2" t="inlineStr">
        <is>
          <t>14 Bd Montmartre, 75009 Paris, France</t>
        </is>
      </c>
      <c r="I35" s="2" t="inlineStr">
        <is>
          <t>🟢 Current hiring signal found</t>
        </is>
      </c>
      <c r="J35" s="2" t="inlineStr">
        <is>
          <t>https://jobs.ashbyhq.com/inato/26983f36-ea51-4c6c-9779-6384171427bf</t>
        </is>
      </c>
      <c r="K35" s="2" t="inlineStr">
        <is>
          <t>https://inato.com/careers</t>
        </is>
      </c>
      <c r="L35" s="2" t="inlineStr">
        <is>
          <t>Favicon / company logo</t>
        </is>
      </c>
      <c r="M35" s="5" t="n">
        <v>46255</v>
      </c>
      <c r="N35" s="2" t="inlineStr">
        <is>
          <t>French: English / role-dependent | English: Required / useful / role-dependent | Student friendly: No | Embedded brand mark. Re-check the live job page before applying; vacancies can close or change.</t>
        </is>
      </c>
    </row>
    <row r="36" ht="43.2" customHeight="1">
      <c r="A36" s="2" t="n"/>
      <c r="B36" s="2" t="inlineStr">
        <is>
          <t>Dust</t>
        </is>
      </c>
      <c r="C36" s="2" t="inlineStr">
        <is>
          <t>Full-time</t>
        </is>
      </c>
      <c r="D36" s="2" t="inlineStr">
        <is>
          <t>Paris</t>
        </is>
      </c>
      <c r="E36" s="2" t="inlineStr">
        <is>
          <t>Not specified</t>
        </is>
      </c>
      <c r="F36" s="2" t="inlineStr">
        <is>
          <t>AI / SaaS</t>
        </is>
      </c>
      <c r="G36" s="2" t="inlineStr">
        <is>
          <t>Senior AI Support Engineer</t>
        </is>
      </c>
      <c r="H36" s="2" t="inlineStr">
        <is>
          <t>86 Avenue de Wagram, 75017 Paris, France</t>
        </is>
      </c>
      <c r="I36" s="2" t="inlineStr">
        <is>
          <t>🟢 Current hiring signal found</t>
        </is>
      </c>
      <c r="J36" s="2" t="inlineStr">
        <is>
          <t>https://jobs.ashbyhq.com/dust/31640a53-7c85-416b-9c95-610445a55e81</t>
        </is>
      </c>
      <c r="K36" s="2" t="inlineStr">
        <is>
          <t>https://dust.tt/careers</t>
        </is>
      </c>
      <c r="L36" s="2" t="inlineStr">
        <is>
          <t>Favicon / company logo</t>
        </is>
      </c>
      <c r="M36" s="5" t="n">
        <v>46255</v>
      </c>
      <c r="N36" s="2" t="inlineStr">
        <is>
          <t>French: English-first / role-dependent | English: Required / useful / role-dependent | Student friendly: No | Embedded brand mark. Re-check the live job page before applying; vacancies can close or change.</t>
        </is>
      </c>
    </row>
    <row r="37" ht="43.2" customHeight="1">
      <c r="A37" s="2" t="n"/>
      <c r="B37" s="2" t="inlineStr">
        <is>
          <t>amo / Bump</t>
        </is>
      </c>
      <c r="C37" s="2" t="inlineStr">
        <is>
          <t>Full-time</t>
        </is>
      </c>
      <c r="D37" s="2" t="inlineStr">
        <is>
          <t>Paris</t>
        </is>
      </c>
      <c r="E37" s="2" t="inlineStr">
        <is>
          <t>Not specified</t>
        </is>
      </c>
      <c r="F37" s="2" t="inlineStr">
        <is>
          <t>Consumer Tech / Social</t>
        </is>
      </c>
      <c r="G37" s="2" t="inlineStr">
        <is>
          <t>India Content Specialist</t>
        </is>
      </c>
      <c r="H37" s="2" t="inlineStr">
        <is>
          <t>29 Boulevard desItaliens, 75002 Paris</t>
        </is>
      </c>
      <c r="I37" s="2" t="inlineStr">
        <is>
          <t>🟢 Current hiring signal found</t>
        </is>
      </c>
      <c r="J37" s="2" t="inlineStr">
        <is>
          <t>https://jobs.ashbyhq.com/amo/fe22e91f-f148-4502-97ef-9f26438625b3</t>
        </is>
      </c>
      <c r="K37" s="2" t="inlineStr">
        <is>
          <t>https://www.amo.co/careers</t>
        </is>
      </c>
      <c r="L37" s="2" t="inlineStr">
        <is>
          <t>Favicon / company logo</t>
        </is>
      </c>
      <c r="M37" s="5" t="n">
        <v>46255</v>
      </c>
      <c r="N37" s="2" t="inlineStr">
        <is>
          <t>French: English + market language | English: Required / useful / role-dependent | Student friendly: No | Embedded brand mark. Re-check the live job page before applying; vacancies can close or change.</t>
        </is>
      </c>
    </row>
    <row r="38" ht="43.2" customHeight="1">
      <c r="A38" s="2" t="n"/>
      <c r="B38" s="2" t="inlineStr">
        <is>
          <t>Alta Ares</t>
        </is>
      </c>
      <c r="C38" s="2" t="inlineStr">
        <is>
          <t>Full-time</t>
        </is>
      </c>
      <c r="D38" s="2" t="inlineStr">
        <is>
          <t>Paris</t>
        </is>
      </c>
      <c r="E38" s="2" t="inlineStr">
        <is>
          <t>Not specified</t>
        </is>
      </c>
      <c r="F38" s="2" t="inlineStr">
        <is>
          <t>AI / Deeptech</t>
        </is>
      </c>
      <c r="G38" s="2" t="inlineStr">
        <is>
          <t>Talent Acquisition Specialist</t>
        </is>
      </c>
      <c r="H38" s="2" t="inlineStr">
        <is>
          <t>8 rue de Lévis, 75017 Paris, France</t>
        </is>
      </c>
      <c r="I38" s="2" t="inlineStr">
        <is>
          <t>🟢 Current hiring signal found</t>
        </is>
      </c>
      <c r="J38" s="2" t="inlineStr">
        <is>
          <t>https://jobs.ashbyhq.com/alta-ares/5f198806-3f6b-435d-8538-a0e158d17c29</t>
        </is>
      </c>
      <c r="K38" s="2" t="inlineStr">
        <is>
          <t>https://www.altaares.com/</t>
        </is>
      </c>
      <c r="L38" s="2" t="inlineStr">
        <is>
          <t>Favicon / company logo</t>
        </is>
      </c>
      <c r="M38" s="5" t="n">
        <v>46255</v>
      </c>
      <c r="N38" s="2" t="inlineStr">
        <is>
          <t>French: English / French role-dependent | English: Required / useful / role-dependent | Student friendly: No | Embedded brand mark. Re-check the live job page before applying; vacancies can close or change.</t>
        </is>
      </c>
    </row>
    <row r="39" ht="43.2" customHeight="1">
      <c r="A39" s="2" t="n"/>
      <c r="B39" s="2" t="inlineStr">
        <is>
          <t>Pivot</t>
        </is>
      </c>
      <c r="C39" s="2" t="inlineStr">
        <is>
          <t>Full-time</t>
        </is>
      </c>
      <c r="D39" s="2" t="inlineStr">
        <is>
          <t>Paris</t>
        </is>
      </c>
      <c r="E39" s="2" t="inlineStr">
        <is>
          <t>Not specified</t>
        </is>
      </c>
      <c r="F39" s="2" t="inlineStr">
        <is>
          <t>AI / Procurement SaaS</t>
        </is>
      </c>
      <c r="G39" s="2" t="inlineStr">
        <is>
          <t>Spontaneous application / upcoming roles</t>
        </is>
      </c>
      <c r="H39" s="2" t="inlineStr">
        <is>
          <t>144 Avenue Charles de Gaulle, 92200 Neuilly-sur-Seine</t>
        </is>
      </c>
      <c r="I39" s="2" t="inlineStr">
        <is>
          <t>🟢 Current hiring signal found</t>
        </is>
      </c>
      <c r="J39" s="2" t="inlineStr">
        <is>
          <t>https://jobs.ashbyhq.com/Pivot/fc07565f-d1ac-498e-b920-e9d3e22c1e2c/</t>
        </is>
      </c>
      <c r="K39" s="2" t="inlineStr">
        <is>
          <t>https://www.pivotapp.ai/careers</t>
        </is>
      </c>
      <c r="L39" s="2" t="inlineStr">
        <is>
          <t>Favicon / company logo</t>
        </is>
      </c>
      <c r="M39" s="5" t="n">
        <v>46255</v>
      </c>
      <c r="N39" s="2" t="inlineStr">
        <is>
          <t>French: English-first / role-dependent | English: Required / useful / role-dependent | Student friendly: No | Embedded brand mark. Re-check the live job page before applying; vacancies can close or change.</t>
        </is>
      </c>
    </row>
    <row r="40" ht="43.2" customHeight="1">
      <c r="A40" s="2" t="n"/>
      <c r="B40" s="2" t="inlineStr">
        <is>
          <t>Qonto</t>
        </is>
      </c>
      <c r="C40" s="2" t="inlineStr">
        <is>
          <t>Full-time</t>
        </is>
      </c>
      <c r="D40" s="2" t="inlineStr">
        <is>
          <t>Paris</t>
        </is>
      </c>
      <c r="E40" s="2" t="inlineStr">
        <is>
          <t>Not specified</t>
        </is>
      </c>
      <c r="F40" s="2" t="inlineStr">
        <is>
          <t>Fintech</t>
        </is>
      </c>
      <c r="G40" s="2" t="inlineStr">
        <is>
          <t>Product / Sales / Operations roles</t>
        </is>
      </c>
      <c r="H40" s="2" t="inlineStr">
        <is>
          <t>18 Rue de Navarin, 75009 Paris, France</t>
        </is>
      </c>
      <c r="I40" s="2" t="inlineStr">
        <is>
          <t>🟢 Current hiring signal found</t>
        </is>
      </c>
      <c r="J40" s="2" t="inlineStr">
        <is>
          <t>https://jobs.lever.co/qonto</t>
        </is>
      </c>
      <c r="K40" s="2" t="inlineStr">
        <is>
          <t>https://qonto.com/en/careers</t>
        </is>
      </c>
      <c r="L40" s="2" t="inlineStr">
        <is>
          <t>Favicon / company logo</t>
        </is>
      </c>
      <c r="M40" s="5" t="n">
        <v>46255</v>
      </c>
      <c r="N40" s="2" t="inlineStr">
        <is>
          <t>French: Role-dependent; English used widely | English: Required / useful / role-dependent | Student friendly: No | Embedded brand mark. Re-check the live job page before applying; vacancies can close or change.</t>
        </is>
      </c>
    </row>
    <row r="41" ht="43.2" customHeight="1">
      <c r="A41" s="2" t="n"/>
      <c r="B41" s="2" t="inlineStr">
        <is>
          <t>BlaBlaCar</t>
        </is>
      </c>
      <c r="C41" s="2" t="inlineStr">
        <is>
          <t>Full-time</t>
        </is>
      </c>
      <c r="D41" s="2" t="inlineStr">
        <is>
          <t>Paris</t>
        </is>
      </c>
      <c r="E41" s="2" t="inlineStr">
        <is>
          <t>Not specified</t>
        </is>
      </c>
      <c r="F41" s="2" t="inlineStr">
        <is>
          <t>Mobility</t>
        </is>
      </c>
      <c r="G41" s="2" t="inlineStr">
        <is>
          <t>Marketing / Strategy / Product roles</t>
        </is>
      </c>
      <c r="H41" s="2" t="inlineStr">
        <is>
          <t>84 Avenue de la République, 75011 Paris, France</t>
        </is>
      </c>
      <c r="I41" s="2" t="inlineStr">
        <is>
          <t>🟢 Current hiring signal found</t>
        </is>
      </c>
      <c r="J41" s="2" t="inlineStr">
        <is>
          <t>https://jobs.lever.co/blablacar</t>
        </is>
      </c>
      <c r="K41" s="2" t="inlineStr">
        <is>
          <t>https://jobs.blablacar.com/</t>
        </is>
      </c>
      <c r="L41" s="2" t="inlineStr">
        <is>
          <t>Favicon / company logo</t>
        </is>
      </c>
      <c r="M41" s="5" t="n">
        <v>46255</v>
      </c>
      <c r="N41" s="2" t="inlineStr">
        <is>
          <t>French: French or English depending on team | English: Required / useful / role-dependent | Student friendly: No | Embedded brand mark. Re-check the live job page before applying; vacancies can close or change.</t>
        </is>
      </c>
    </row>
    <row r="42" ht="28.8" customHeight="1">
      <c r="A42" s="2" t="n"/>
      <c r="B42" s="2" t="inlineStr">
        <is>
          <t>Malt</t>
        </is>
      </c>
      <c r="C42" s="2" t="inlineStr">
        <is>
          <t>Full-time</t>
        </is>
      </c>
      <c r="D42" s="2" t="inlineStr">
        <is>
          <t>Paris</t>
        </is>
      </c>
      <c r="E42" s="2" t="inlineStr">
        <is>
          <t>Not specified</t>
        </is>
      </c>
      <c r="F42" s="2" t="inlineStr">
        <is>
          <t>SaaS / Future of Work</t>
        </is>
      </c>
      <c r="G42" s="2" t="inlineStr">
        <is>
          <t>Account Management / Data / Security roles</t>
        </is>
      </c>
      <c r="H42" s="2" t="inlineStr">
        <is>
          <t>18 Rue Godot de Mauroy, 75009 Paris, France</t>
        </is>
      </c>
      <c r="I42" s="2" t="inlineStr">
        <is>
          <t>🟢 Current hiring signal found</t>
        </is>
      </c>
      <c r="J42" s="2" t="inlineStr">
        <is>
          <t>https://jobs.lever.co/malt</t>
        </is>
      </c>
      <c r="K42" s="2" t="inlineStr">
        <is>
          <t>https://www.malt.com/careers</t>
        </is>
      </c>
      <c r="L42" s="2" t="inlineStr">
        <is>
          <t>Favicon / company logo</t>
        </is>
      </c>
      <c r="M42" s="5" t="n">
        <v>46255</v>
      </c>
      <c r="N42" s="2" t="inlineStr">
        <is>
          <t>French: Role-dependent | English: Not specified | Student friendly: No | Embedded logo asset. Re-check the live job page before applying; vacancies can close or change.</t>
        </is>
      </c>
    </row>
    <row r="43" ht="43.2" customHeight="1">
      <c r="A43" s="2" t="n"/>
      <c r="B43" s="2" t="inlineStr">
        <is>
          <t>Doctolib</t>
        </is>
      </c>
      <c r="C43" s="2" t="inlineStr">
        <is>
          <t>Full-time</t>
        </is>
      </c>
      <c r="D43" s="2" t="inlineStr">
        <is>
          <t>Levallois-Perret</t>
        </is>
      </c>
      <c r="E43" s="2" t="inlineStr">
        <is>
          <t>Not specified</t>
        </is>
      </c>
      <c r="F43" s="2" t="inlineStr">
        <is>
          <t>Healthtech</t>
        </is>
      </c>
      <c r="G43" s="2" t="inlineStr">
        <is>
          <t>Product / Finance / Tech roles</t>
        </is>
      </c>
      <c r="H43" s="2" t="inlineStr">
        <is>
          <t>54 Quai Charles Pasqua, 92300 Levallois-Perret, France</t>
        </is>
      </c>
      <c r="I43" s="2" t="inlineStr">
        <is>
          <t>🟢 Current hiring signal found</t>
        </is>
      </c>
      <c r="J43" s="2" t="inlineStr">
        <is>
          <t>https://careers.doctolib.fr/</t>
        </is>
      </c>
      <c r="K43" s="2" t="inlineStr">
        <is>
          <t>https://careers.doctolib.fr/</t>
        </is>
      </c>
      <c r="L43" s="2" t="inlineStr">
        <is>
          <t>Favicon / company logo</t>
        </is>
      </c>
      <c r="M43" s="5" t="n">
        <v>46255</v>
      </c>
      <c r="N43" s="2" t="inlineStr">
        <is>
          <t>French: French + English role-dependent | English: Required / useful / role-dependent | Student friendly: No | Embedded logo asset. Re-check the live job page before applying; vacancies can close or change.</t>
        </is>
      </c>
    </row>
    <row r="44" ht="43.2" customHeight="1">
      <c r="A44" s="2" t="n"/>
      <c r="B44" s="2" t="inlineStr">
        <is>
          <t>Aircall</t>
        </is>
      </c>
      <c r="C44" s="2" t="inlineStr">
        <is>
          <t>Full-time</t>
        </is>
      </c>
      <c r="D44" s="2" t="inlineStr">
        <is>
          <t>Paris</t>
        </is>
      </c>
      <c r="E44" s="2" t="inlineStr">
        <is>
          <t>Not specified</t>
        </is>
      </c>
      <c r="F44" s="2" t="inlineStr">
        <is>
          <t>SaaS / Communications</t>
        </is>
      </c>
      <c r="G44" s="2" t="inlineStr">
        <is>
          <t>Sales / Engineering / Customer roles</t>
        </is>
      </c>
      <c r="H44" s="2" t="inlineStr">
        <is>
          <t>11 Rue Saint-Georges, 75009 Paris, France</t>
        </is>
      </c>
      <c r="I44" s="2" t="inlineStr">
        <is>
          <t>🟢 Current hiring signal found</t>
        </is>
      </c>
      <c r="J44" s="2" t="inlineStr">
        <is>
          <t>https://aircall.io/careers/</t>
        </is>
      </c>
      <c r="K44" s="2" t="inlineStr">
        <is>
          <t>https://aircall.io/careers/</t>
        </is>
      </c>
      <c r="L44" s="2" t="inlineStr">
        <is>
          <t>Favicon / company logo</t>
        </is>
      </c>
      <c r="M44" s="5" t="n">
        <v>46255</v>
      </c>
      <c r="N44" s="2" t="inlineStr">
        <is>
          <t>French: English; French for France-facing roles | English: Required / useful / role-dependent | Student friendly: No | Embedded logo asset. Re-check the live job page before applying; vacancies can close or change.</t>
        </is>
      </c>
    </row>
    <row r="45" ht="43.2" customHeight="1">
      <c r="A45" s="2" t="n"/>
      <c r="B45" s="2" t="inlineStr">
        <is>
          <t>Pigment</t>
        </is>
      </c>
      <c r="C45" s="2" t="inlineStr">
        <is>
          <t>Full-time</t>
        </is>
      </c>
      <c r="D45" s="2" t="inlineStr">
        <is>
          <t>Paris</t>
        </is>
      </c>
      <c r="E45" s="2" t="inlineStr">
        <is>
          <t>Not specified</t>
        </is>
      </c>
      <c r="F45" s="2" t="inlineStr">
        <is>
          <t>SaaS / Planning</t>
        </is>
      </c>
      <c r="G45" s="2" t="inlineStr">
        <is>
          <t>Sales / Growth / Product roles</t>
        </is>
      </c>
      <c r="H45" s="2" t="inlineStr">
        <is>
          <t>12 Rue Sainte-Cécile, 75009 Paris, France</t>
        </is>
      </c>
      <c r="I45" s="2" t="inlineStr">
        <is>
          <t>🟢 Current hiring signal found</t>
        </is>
      </c>
      <c r="J45" s="2" t="inlineStr">
        <is>
          <t>https://jobs.lever.co/pigment</t>
        </is>
      </c>
      <c r="K45" s="2" t="inlineStr">
        <is>
          <t>https://www.pigment.com/careers</t>
        </is>
      </c>
      <c r="L45" s="2" t="inlineStr">
        <is>
          <t>Favicon / company logo</t>
        </is>
      </c>
      <c r="M45" s="5" t="n">
        <v>46255</v>
      </c>
      <c r="N45" s="2" t="inlineStr">
        <is>
          <t>French: English-first / role-dependent | English: Required / useful / role-dependent | Student friendly: No | Embedded brand mark. Re-check the live job page before applying; vacancies can close or change.</t>
        </is>
      </c>
    </row>
    <row r="46" ht="43.2" customHeight="1">
      <c r="A46" s="2" t="n"/>
      <c r="B46" s="2" t="inlineStr">
        <is>
          <t>Voodoo</t>
        </is>
      </c>
      <c r="C46" s="2" t="inlineStr">
        <is>
          <t>Full-time</t>
        </is>
      </c>
      <c r="D46" s="2" t="inlineStr">
        <is>
          <t>Paris</t>
        </is>
      </c>
      <c r="E46" s="2" t="inlineStr">
        <is>
          <t>Not specified</t>
        </is>
      </c>
      <c r="F46" s="2" t="inlineStr">
        <is>
          <t>Gaming / Mobile</t>
        </is>
      </c>
      <c r="G46" s="2" t="inlineStr">
        <is>
          <t>Product / Growth / Tech roles</t>
        </is>
      </c>
      <c r="H46" s="2" t="inlineStr">
        <is>
          <t>20 Rue de Charonne, 75011 Paris, France</t>
        </is>
      </c>
      <c r="I46" s="2" t="inlineStr">
        <is>
          <t>🟢 Current hiring signal found</t>
        </is>
      </c>
      <c r="J46" s="2" t="inlineStr">
        <is>
          <t>https://voodoo.io/careers</t>
        </is>
      </c>
      <c r="K46" s="2" t="inlineStr">
        <is>
          <t>https://voodoo.io/careers</t>
        </is>
      </c>
      <c r="L46" s="2" t="inlineStr">
        <is>
          <t>Favicon / company logo</t>
        </is>
      </c>
      <c r="M46" s="5" t="n">
        <v>46255</v>
      </c>
      <c r="N46" s="2" t="inlineStr">
        <is>
          <t>French: English-first / role-dependent | English: Required / useful / role-dependent | Student friendly: No | Embedded logo asset. Re-check the live job page before applying; vacancies can close or change.</t>
        </is>
      </c>
    </row>
    <row r="47" ht="43.2" customHeight="1">
      <c r="A47" s="2" t="n"/>
      <c r="B47" s="2" t="inlineStr">
        <is>
          <t>Front</t>
        </is>
      </c>
      <c r="C47" s="2" t="inlineStr">
        <is>
          <t>Full-time</t>
        </is>
      </c>
      <c r="D47" s="2" t="inlineStr">
        <is>
          <t>Paris</t>
        </is>
      </c>
      <c r="E47" s="2" t="inlineStr">
        <is>
          <t>Not specified</t>
        </is>
      </c>
      <c r="F47" s="2" t="inlineStr">
        <is>
          <t>SaaS / Customer Communication</t>
        </is>
      </c>
      <c r="G47" s="2" t="inlineStr">
        <is>
          <t>Software Engineering / Product roles</t>
        </is>
      </c>
      <c r="H47" s="2" t="inlineStr">
        <is>
          <t>35 Rue Greneta, 75002 Paris, France (6th floor)</t>
        </is>
      </c>
      <c r="I47" s="2" t="inlineStr">
        <is>
          <t>🟢 Current hiring signal found</t>
        </is>
      </c>
      <c r="J47" s="2" t="inlineStr">
        <is>
          <t>https://jobs.ashbyhq.com/frontcareers</t>
        </is>
      </c>
      <c r="K47" s="2" t="inlineStr">
        <is>
          <t>https://front.com/careers</t>
        </is>
      </c>
      <c r="L47" s="2" t="inlineStr">
        <is>
          <t>Favicon / company logo</t>
        </is>
      </c>
      <c r="M47" s="5" t="n">
        <v>46255</v>
      </c>
      <c r="N47" s="2" t="inlineStr">
        <is>
          <t>French: English-first; company describes itself as English-speaking | English: Required / useful / role-dependent | Student friendly: No | Embedded brand mark. Re-check the live job page before applying; vacancies can close or change.</t>
        </is>
      </c>
    </row>
    <row r="48" ht="43.2" customHeight="1">
      <c r="A48" s="2" t="n"/>
      <c r="B48" s="2" t="inlineStr">
        <is>
          <t>Akur8</t>
        </is>
      </c>
      <c r="C48" s="2" t="inlineStr">
        <is>
          <t>Full-time</t>
        </is>
      </c>
      <c r="D48" s="2" t="inlineStr">
        <is>
          <t>Paris</t>
        </is>
      </c>
      <c r="E48" s="2" t="inlineStr">
        <is>
          <t>Not specified</t>
        </is>
      </c>
      <c r="F48" s="2" t="inlineStr">
        <is>
          <t>Insurtech / AI</t>
        </is>
      </c>
      <c r="G48" s="2" t="inlineStr">
        <is>
          <t>Data / Actuarial / Product roles</t>
        </is>
      </c>
      <c r="H48" s="2" t="inlineStr">
        <is>
          <t>14 Rue d'Uzès, 75002 Paris, France</t>
        </is>
      </c>
      <c r="I48" s="2" t="inlineStr">
        <is>
          <t>🟢 Current hiring signal found</t>
        </is>
      </c>
      <c r="J48" s="2" t="inlineStr">
        <is>
          <t>https://www.akur8.com/careers</t>
        </is>
      </c>
      <c r="K48" s="2" t="inlineStr">
        <is>
          <t>https://www.akur8.com/careers</t>
        </is>
      </c>
      <c r="L48" s="2" t="inlineStr">
        <is>
          <t>Favicon / company logo</t>
        </is>
      </c>
      <c r="M48" s="5" t="n">
        <v>46255</v>
      </c>
      <c r="N48" s="2" t="inlineStr">
        <is>
          <t>French: English + French role-dependent | English: Required / useful / role-dependent | Student friendly: No | Embedded brand mark. Re-check the live job page before applying; vacancies can close or change.</t>
        </is>
      </c>
    </row>
    <row r="49" ht="43.2" customHeight="1">
      <c r="A49" s="2" t="n"/>
      <c r="B49" s="2" t="inlineStr">
        <is>
          <t>Sorare</t>
        </is>
      </c>
      <c r="C49" s="2" t="inlineStr">
        <is>
          <t>Full-time</t>
        </is>
      </c>
      <c r="D49" s="2" t="inlineStr">
        <is>
          <t>Paris</t>
        </is>
      </c>
      <c r="E49" s="2" t="inlineStr">
        <is>
          <t>Not specified</t>
        </is>
      </c>
      <c r="F49" s="2" t="inlineStr">
        <is>
          <t>Sports / Gaming / Web3</t>
        </is>
      </c>
      <c r="G49" s="2" t="inlineStr">
        <is>
          <t>Marketing / Product / Tech roles</t>
        </is>
      </c>
      <c r="H49" s="2" t="inlineStr">
        <is>
          <t>10 Rue de la Paix, 75002 Paris, France</t>
        </is>
      </c>
      <c r="I49" s="2" t="inlineStr">
        <is>
          <t>🟢 Current hiring signal found</t>
        </is>
      </c>
      <c r="J49" s="2" t="inlineStr">
        <is>
          <t>https://jobs.ashbyhq.com/sorare</t>
        </is>
      </c>
      <c r="K49" s="2" t="inlineStr">
        <is>
          <t>https://sorare.com/careers</t>
        </is>
      </c>
      <c r="L49" s="2" t="inlineStr">
        <is>
          <t>Favicon / company logo</t>
        </is>
      </c>
      <c r="M49" s="5" t="n">
        <v>46255</v>
      </c>
      <c r="N49" s="2" t="inlineStr">
        <is>
          <t>French: English-first / role-dependent | English: Required / useful / role-dependent | Student friendly: No | Embedded brand mark. Re-check the live job page before applying; vacancies can close or change.</t>
        </is>
      </c>
    </row>
    <row r="50" ht="43.2" customHeight="1">
      <c r="A50" s="2" t="n"/>
      <c r="B50" s="2" t="inlineStr">
        <is>
          <t>Scaleway</t>
        </is>
      </c>
      <c r="C50" s="2" t="inlineStr">
        <is>
          <t>Full-time</t>
        </is>
      </c>
      <c r="D50" s="2" t="inlineStr">
        <is>
          <t>Paris</t>
        </is>
      </c>
      <c r="E50" s="2" t="inlineStr">
        <is>
          <t>Not specified</t>
        </is>
      </c>
      <c r="F50" s="2" t="inlineStr">
        <is>
          <t>Cloud / Infrastructure</t>
        </is>
      </c>
      <c r="G50" s="2" t="inlineStr">
        <is>
          <t>Cloud / Engineering / Operations roles</t>
        </is>
      </c>
      <c r="H50" s="2" t="inlineStr">
        <is>
          <t>8 Rue de la Ville-l'Évêque, 75008 Paris, France</t>
        </is>
      </c>
      <c r="I50" s="2" t="inlineStr">
        <is>
          <t>🟢 Current hiring signal found</t>
        </is>
      </c>
      <c r="J50" s="2" t="inlineStr">
        <is>
          <t>https://www.scaleway.com/en/careers/</t>
        </is>
      </c>
      <c r="K50" s="2" t="inlineStr">
        <is>
          <t>https://www.scaleway.com/en/careers/</t>
        </is>
      </c>
      <c r="L50" s="2" t="inlineStr">
        <is>
          <t>Favicon / company logo</t>
        </is>
      </c>
      <c r="M50" s="5" t="n">
        <v>46255</v>
      </c>
      <c r="N50" s="2" t="inlineStr">
        <is>
          <t>French: English/French role-dependent | English: Required / useful / role-dependent | Student friendly: No | Embedded brand mark. Re-check the live job page before applying; vacancies can close or change.</t>
        </is>
      </c>
    </row>
    <row r="51" ht="57.6" customHeight="1">
      <c r="A51" s="2" t="n"/>
      <c r="B51" s="2" t="inlineStr">
        <is>
          <t>McDonald's</t>
        </is>
      </c>
      <c r="C51" s="2" t="inlineStr">
        <is>
          <t>Part-time / Student</t>
        </is>
      </c>
      <c r="D51" s="2" t="inlineStr">
        <is>
          <t>Paris 1e / Paris 19e / Paris 20e</t>
        </is>
      </c>
      <c r="E51" s="2" t="inlineStr">
        <is>
          <t>Not specified</t>
        </is>
      </c>
      <c r="F51" s="2" t="inlineStr">
        <is>
          <t>Food Service / Fast Food (QSR)</t>
        </is>
      </c>
      <c r="G51" s="2" t="inlineStr">
        <is>
          <t>Employé Polyvalent</t>
        </is>
      </c>
      <c r="H51" s="2" t="inlineStr">
        <is>
          <t>11 Avenue de Wagram, 75017 Paris, France</t>
        </is>
      </c>
      <c r="I51" s="2" t="inlineStr">
        <is>
          <t>🟢 Currently hiring</t>
        </is>
      </c>
      <c r="J51" s="2" t="inlineStr">
        <is>
          <t>https://www.mcdonalds-recrute.fr/nos-restaurants/paris-wagram/</t>
        </is>
      </c>
      <c r="K51" s="2" t="inlineStr">
        <is>
          <t>https://prd-recrute.mcdonalds.fr/nous-rejoindre/etudiants/</t>
        </is>
      </c>
      <c r="L51" s="2" t="inlineStr">
        <is>
          <t>Favicon / company logo</t>
        </is>
      </c>
      <c r="M51" s="5" t="n">
        <v>46255</v>
      </c>
      <c r="N51" s="2" t="inlineStr">
        <is>
          <t>Location: Paris Wagram. Official McDonald's restaurant page shows Employé Polyvalent vacancy; part-time/student scheduling supported. French: French likely for customer-facing work | English: Not specified | Student friendly: Yes | Embedded brand mark. Re-check the live job page before applying; vacancies can close or change.</t>
        </is>
      </c>
    </row>
    <row r="52" ht="57.6" customHeight="1">
      <c r="A52" s="2" t="n"/>
      <c r="B52" s="2" t="inlineStr">
        <is>
          <t>McDonald's</t>
        </is>
      </c>
      <c r="C52" s="2" t="inlineStr">
        <is>
          <t>Part-time / Student</t>
        </is>
      </c>
      <c r="D52" s="2" t="inlineStr">
        <is>
          <t>Paris 1e / Paris 19e / Paris 20e</t>
        </is>
      </c>
      <c r="E52" s="2" t="inlineStr">
        <is>
          <t>Not specified</t>
        </is>
      </c>
      <c r="F52" s="2" t="inlineStr">
        <is>
          <t>Food Service / Fast Food (QSR)</t>
        </is>
      </c>
      <c r="G52" s="2" t="inlineStr">
        <is>
          <t>Employé Polyvalent</t>
        </is>
      </c>
      <c r="H52" s="2" t="inlineStr">
        <is>
          <t>192 Rue de la Convention, 75015 Paris, France</t>
        </is>
      </c>
      <c r="I52" s="2" t="inlineStr">
        <is>
          <t>🟢 Currently hiring</t>
        </is>
      </c>
      <c r="J52" s="2" t="inlineStr">
        <is>
          <t>https://www.mcdonalds-recrute.fr/nos-restaurants/paris-convention/</t>
        </is>
      </c>
      <c r="K52" s="2" t="inlineStr">
        <is>
          <t>https://prd-recrute.mcdonalds.fr/nous-rejoindre/etudiants/</t>
        </is>
      </c>
      <c r="L52" s="2" t="inlineStr">
        <is>
          <t>Favicon / company logo</t>
        </is>
      </c>
      <c r="M52" s="5" t="n">
        <v>46255</v>
      </c>
      <c r="N52" s="2" t="inlineStr">
        <is>
          <t>Location: Paris Convention. Official McDonald's restaurant page shows Employé Polyvalent vacancy; part-time/student scheduling supported. French: French likely for customer-facing work | English: Not specified | Student friendly: Yes | Embedded brand mark. Re-check the live job page before applying; vacancies can close or change.</t>
        </is>
      </c>
    </row>
    <row r="53" ht="57.6" customHeight="1">
      <c r="A53" s="2" t="n"/>
      <c r="B53" s="2" t="inlineStr">
        <is>
          <t>McDonald's</t>
        </is>
      </c>
      <c r="C53" s="2" t="inlineStr">
        <is>
          <t>Part-time / Student</t>
        </is>
      </c>
      <c r="D53" s="2" t="inlineStr">
        <is>
          <t>Paris 1e / Paris 19e / Paris 20e</t>
        </is>
      </c>
      <c r="E53" s="2" t="inlineStr">
        <is>
          <t>Not specified</t>
        </is>
      </c>
      <c r="F53" s="2" t="inlineStr">
        <is>
          <t>Food Service / Fast Food (QSR)</t>
        </is>
      </c>
      <c r="G53" s="2" t="inlineStr">
        <is>
          <t>Employé Polyvalent</t>
        </is>
      </c>
      <c r="H53" s="2" t="inlineStr">
        <is>
          <t>2 Boulevard Poissonnière, 75009 Paris, France</t>
        </is>
      </c>
      <c r="I53" s="2" t="inlineStr">
        <is>
          <t>🟢 Currently hiring</t>
        </is>
      </c>
      <c r="J53" s="2" t="inlineStr">
        <is>
          <t>https://www.mcdonalds-recrute.fr/nos-restaurants/paris-bonne-nouvelle/</t>
        </is>
      </c>
      <c r="K53" s="2" t="inlineStr">
        <is>
          <t>https://prd-recrute.mcdonalds.fr/nous-rejoindre/etudiants/</t>
        </is>
      </c>
      <c r="L53" s="2" t="inlineStr">
        <is>
          <t>Favicon / company logo</t>
        </is>
      </c>
      <c r="M53" s="5" t="n">
        <v>46255</v>
      </c>
      <c r="N53" s="2" t="inlineStr">
        <is>
          <t>Location: Paris Bonne Nouvelle. Official McDonald's restaurant page shows Employé Polyvalent vacancy. French: French likely for customer-facing work | English: Not specified | Student friendly: Yes | Embedded brand mark. Re-check the live job page before applying; vacancies can close or change.</t>
        </is>
      </c>
    </row>
    <row r="54" ht="57.6" customHeight="1">
      <c r="A54" s="2" t="n"/>
      <c r="B54" s="2" t="inlineStr">
        <is>
          <t>McDonald's</t>
        </is>
      </c>
      <c r="C54" s="2" t="inlineStr">
        <is>
          <t>Part-time / Student</t>
        </is>
      </c>
      <c r="D54" s="2" t="inlineStr">
        <is>
          <t>Paris 1e / Paris 19e / Paris 20e</t>
        </is>
      </c>
      <c r="E54" s="2" t="inlineStr">
        <is>
          <t>Not specified</t>
        </is>
      </c>
      <c r="F54" s="2" t="inlineStr">
        <is>
          <t>Food Service / Fast Food (QSR)</t>
        </is>
      </c>
      <c r="G54" s="2" t="inlineStr">
        <is>
          <t>Employé Polyvalent</t>
        </is>
      </c>
      <c r="H54" s="2" t="inlineStr">
        <is>
          <t>208 Avenue Jean Jaurès, 75019 Paris, France</t>
        </is>
      </c>
      <c r="I54" s="2" t="inlineStr">
        <is>
          <t>🟢 Currently hiring</t>
        </is>
      </c>
      <c r="J54" s="2" t="inlineStr">
        <is>
          <t>https://www.mcdonalds-recrute.fr/nos-restaurants/paris-porte-de-pantin/</t>
        </is>
      </c>
      <c r="K54" s="2" t="inlineStr">
        <is>
          <t>https://prd-recrute.mcdonalds.fr/nous-rejoindre/etudiants/</t>
        </is>
      </c>
      <c r="L54" s="2" t="inlineStr">
        <is>
          <t>Favicon / company logo</t>
        </is>
      </c>
      <c r="M54" s="5" t="n">
        <v>46255</v>
      </c>
      <c r="N54" s="2" t="inlineStr">
        <is>
          <t>Location: Paris Porte de Pantin. Official McDonald's restaurant page shows Employé Polyvalent vacancy; part-time/student scheduling supported. French: French likely for customer-facing work | English: Not specified | Student friendly: Yes | Embedded brand mark. Re-check the live job page before applying; vacancies can close or change.</t>
        </is>
      </c>
    </row>
    <row r="55" ht="57.6" customHeight="1">
      <c r="A55" s="2" t="n"/>
      <c r="B55" s="2" t="inlineStr">
        <is>
          <t>McDonald's</t>
        </is>
      </c>
      <c r="C55" s="2" t="inlineStr">
        <is>
          <t>Part-time / Student</t>
        </is>
      </c>
      <c r="D55" s="2" t="inlineStr">
        <is>
          <t>Paris 1e / Paris 19e / Paris 20e</t>
        </is>
      </c>
      <c r="E55" s="2" t="inlineStr">
        <is>
          <t>Not specified</t>
        </is>
      </c>
      <c r="F55" s="2" t="inlineStr">
        <is>
          <t>Food Service / Fast Food (QSR)</t>
        </is>
      </c>
      <c r="G55" s="2" t="inlineStr">
        <is>
          <t>Employé Polyvalent</t>
        </is>
      </c>
      <c r="H55" s="2" t="inlineStr">
        <is>
          <t>353 Rue de Belleville, 75019 Paris, France</t>
        </is>
      </c>
      <c r="I55" s="2" t="inlineStr">
        <is>
          <t>🟢 Currently hiring</t>
        </is>
      </c>
      <c r="J55" s="2" t="inlineStr">
        <is>
          <t>https://www.mcdonalds-recrute.fr/nos-restaurants/paris-porte-des-lilas/</t>
        </is>
      </c>
      <c r="K55" s="2" t="inlineStr">
        <is>
          <t>https://prd-recrute.mcdonalds.fr/nous-rejoindre/etudiants/</t>
        </is>
      </c>
      <c r="L55" s="2" t="inlineStr">
        <is>
          <t>Favicon / company logo</t>
        </is>
      </c>
      <c r="M55" s="5" t="n">
        <v>46255</v>
      </c>
      <c r="N55" s="2" t="inlineStr">
        <is>
          <t>Location: Paris Porte des Lilas. Official McDonald's restaurant page shows Employé Polyvalent vacancy; part-time/student scheduling supported. French: French likely for customer-facing work | English: Not specified | Student friendly: Yes | Embedded brand mark. Re-check the live job page before applying; vacancies can close or change.</t>
        </is>
      </c>
    </row>
    <row r="56" ht="57.6" customHeight="1">
      <c r="A56" s="2" t="n"/>
      <c r="B56" s="2" t="inlineStr">
        <is>
          <t>McDonald's</t>
        </is>
      </c>
      <c r="C56" s="2" t="inlineStr">
        <is>
          <t>Part-time / Student</t>
        </is>
      </c>
      <c r="D56" s="2" t="inlineStr">
        <is>
          <t>Paris 1e / Paris 19e / Paris 20e</t>
        </is>
      </c>
      <c r="E56" s="2" t="inlineStr">
        <is>
          <t>Not specified</t>
        </is>
      </c>
      <c r="F56" s="2" t="inlineStr">
        <is>
          <t>Food Service / Fast Food (QSR)</t>
        </is>
      </c>
      <c r="G56" s="2" t="inlineStr">
        <is>
          <t>Employé Polyvalent</t>
        </is>
      </c>
      <c r="H56" s="2" t="inlineStr">
        <is>
          <t>67 Boulevard Davout, 75020 Paris, France</t>
        </is>
      </c>
      <c r="I56" s="2" t="inlineStr">
        <is>
          <t>🟢 Currently hiring</t>
        </is>
      </c>
      <c r="J56" s="2" t="inlineStr">
        <is>
          <t>https://www.mcdonalds-recrute.fr/nos-restaurants/paris-porte-montreuil/</t>
        </is>
      </c>
      <c r="K56" s="2" t="inlineStr">
        <is>
          <t>https://prd-recrute.mcdonalds.fr/nous-rejoindre/etudiants/</t>
        </is>
      </c>
      <c r="L56" s="2" t="inlineStr">
        <is>
          <t>Favicon / company logo</t>
        </is>
      </c>
      <c r="M56" s="5" t="n">
        <v>46255</v>
      </c>
      <c r="N56" s="2" t="inlineStr">
        <is>
          <t>Location: Paris Porte Montreuil. Official McDonald's restaurant page shows Employé Polyvalent vacancy; part-time/student scheduling supported. French: French likely for customer-facing work | English: Not specified | Student friendly: Yes | Embedded brand mark. Re-check the live job page before applying; vacancies can close or change.</t>
        </is>
      </c>
    </row>
    <row r="57" ht="57.6" customHeight="1">
      <c r="A57" s="2" t="n"/>
      <c r="B57" s="2" t="inlineStr">
        <is>
          <t>McDonald's</t>
        </is>
      </c>
      <c r="C57" s="2" t="inlineStr">
        <is>
          <t>Part-time / Student</t>
        </is>
      </c>
      <c r="D57" s="2" t="inlineStr">
        <is>
          <t>Paris 1e / Paris 19e / Paris 20e</t>
        </is>
      </c>
      <c r="E57" s="2" t="inlineStr">
        <is>
          <t>Not specified</t>
        </is>
      </c>
      <c r="F57" s="2" t="inlineStr">
        <is>
          <t>Food Service / Fast Food (QSR)</t>
        </is>
      </c>
      <c r="G57" s="2" t="inlineStr">
        <is>
          <t>Employé Polyvalent</t>
        </is>
      </c>
      <c r="H57" s="2" t="inlineStr">
        <is>
          <t>77 Boulevard Ornano, 75865 Paris CEDEX 18, France</t>
        </is>
      </c>
      <c r="I57" s="2" t="inlineStr">
        <is>
          <t>🟢 Currently hiring</t>
        </is>
      </c>
      <c r="J57" s="2" t="inlineStr">
        <is>
          <t>https://www.mcdonalds-recrute.fr/nos-restaurants/paris-clignancourt/</t>
        </is>
      </c>
      <c r="K57" s="2" t="inlineStr">
        <is>
          <t>https://prd-recrute.mcdonalds.fr/nous-rejoindre/etudiants/</t>
        </is>
      </c>
      <c r="L57" s="2" t="inlineStr">
        <is>
          <t>Favicon / company logo</t>
        </is>
      </c>
      <c r="M57" s="5" t="n">
        <v>46255</v>
      </c>
      <c r="N57" s="2" t="inlineStr">
        <is>
          <t>Location: Paris Clignancourt. Official McDonald's restaurant page shows Employé Polyvalent vacancy; part-time/student scheduling supported. French: French likely for customer-facing work | English: Not specified | Student friendly: Yes | Embedded brand mark. Re-check the live job page before applying; vacancies can close or change.</t>
        </is>
      </c>
    </row>
    <row r="58" ht="57.6" customHeight="1">
      <c r="A58" s="2" t="n"/>
      <c r="B58" s="2" t="inlineStr">
        <is>
          <t>McDonald's</t>
        </is>
      </c>
      <c r="C58" s="2" t="inlineStr">
        <is>
          <t>Part-time / Student</t>
        </is>
      </c>
      <c r="D58" s="2" t="inlineStr">
        <is>
          <t>Paris 1e / Paris 19e / Paris 20e</t>
        </is>
      </c>
      <c r="E58" s="2" t="inlineStr">
        <is>
          <t>Not specified</t>
        </is>
      </c>
      <c r="F58" s="2" t="inlineStr">
        <is>
          <t>Food Service / Fast Food (QSR)</t>
        </is>
      </c>
      <c r="G58" s="2" t="inlineStr">
        <is>
          <t>Employé Polyvalent</t>
        </is>
      </c>
      <c r="H58" s="2" t="inlineStr">
        <is>
          <t>88 bis Rue Parmentier, 75011 Paris, France</t>
        </is>
      </c>
      <c r="I58" s="2" t="inlineStr">
        <is>
          <t>🟢 Currently hiring</t>
        </is>
      </c>
      <c r="J58" s="2" t="inlineStr">
        <is>
          <t>https://www.mcdonalds-recrute.fr/nos-restaurants/paris-parmentier/</t>
        </is>
      </c>
      <c r="K58" s="2" t="inlineStr">
        <is>
          <t>https://prd-recrute.mcdonalds.fr/nous-rejoindre/etudiants/</t>
        </is>
      </c>
      <c r="L58" s="2" t="inlineStr">
        <is>
          <t>Favicon / company logo</t>
        </is>
      </c>
      <c r="M58" s="5" t="n">
        <v>46255</v>
      </c>
      <c r="N58" s="2" t="inlineStr">
        <is>
          <t>Location: Paris Parmentier. Official McDonald's restaurant page shows Employé Polyvalent vacancy; part-time/student scheduling supported. French: French likely for customer-facing work | English: Not specified | Student friendly: Yes | Embedded brand mark. Re-check the live job page before applying; vacancies can close or change.</t>
        </is>
      </c>
    </row>
    <row r="59" ht="57.6" customHeight="1">
      <c r="A59" s="2" t="n"/>
      <c r="B59" s="2" t="inlineStr">
        <is>
          <t>McDonald's</t>
        </is>
      </c>
      <c r="C59" s="2" t="inlineStr">
        <is>
          <t>Part-time / Student</t>
        </is>
      </c>
      <c r="D59" s="2" t="inlineStr">
        <is>
          <t>Paris 1e / Paris 19e / Paris 20e</t>
        </is>
      </c>
      <c r="E59" s="2" t="inlineStr">
        <is>
          <t>Not specified</t>
        </is>
      </c>
      <c r="F59" s="2" t="inlineStr">
        <is>
          <t>Food Service / Fast Food (QSR)</t>
        </is>
      </c>
      <c r="G59" s="2" t="inlineStr">
        <is>
          <t>Employé Polyvalent</t>
        </is>
      </c>
      <c r="H59" s="2" t="inlineStr">
        <is>
          <t>9–11 Avenue de Choisy, 75013 Paris, France</t>
        </is>
      </c>
      <c r="I59" s="2" t="inlineStr">
        <is>
          <t>🟢 Currently hiring</t>
        </is>
      </c>
      <c r="J59" s="2" t="inlineStr">
        <is>
          <t>https://www.mcdonalds-recrute.fr/nos-restaurants/paris-avenue-de-choisy/</t>
        </is>
      </c>
      <c r="K59" s="2" t="inlineStr">
        <is>
          <t>https://prd-recrute.mcdonalds.fr/nous-rejoindre/etudiants/</t>
        </is>
      </c>
      <c r="L59" s="2" t="inlineStr">
        <is>
          <t>Favicon / company logo</t>
        </is>
      </c>
      <c r="M59" s="5" t="n">
        <v>46255</v>
      </c>
      <c r="N59" s="2" t="inlineStr">
        <is>
          <t>Location: Paris Avenue de Choisy. Official McDonald's restaurant page shows Employé Polyvalent vacancy; part-time/student scheduling supported. French: French likely for customer-facing work | English: Not specified | Student friendly: Yes | Embedded brand mark. Re-check the live job page before applying; vacancies can close or change.</t>
        </is>
      </c>
    </row>
    <row r="60" ht="57.6" customHeight="1">
      <c r="A60" s="2" t="n"/>
      <c r="B60" s="2" t="inlineStr">
        <is>
          <t>Five Guys</t>
        </is>
      </c>
      <c r="C60" s="2" t="inlineStr">
        <is>
          <t>Part-time / CDI</t>
        </is>
      </c>
      <c r="D60" s="2" t="inlineStr">
        <is>
          <t>Paris 1er / Paris 9e / Paris 12e</t>
        </is>
      </c>
      <c r="E60" s="2" t="inlineStr">
        <is>
          <t>Not specified</t>
        </is>
      </c>
      <c r="F60" s="2" t="inlineStr">
        <is>
          <t>Food Service / Fast Food (QSR)</t>
        </is>
      </c>
      <c r="G60" s="2" t="inlineStr">
        <is>
          <t>Equipier Polyvalent</t>
        </is>
      </c>
      <c r="H60" s="2" t="inlineStr">
        <is>
          <t>2 Boulevard Haussmann, 75009 Paris, France</t>
        </is>
      </c>
      <c r="I60" s="2" t="inlineStr">
        <is>
          <t>🟢 Currently hiring</t>
        </is>
      </c>
      <c r="J60" s="2" t="inlineStr">
        <is>
          <t>https://recrutement.fiveguys.fr/jobs?split_view=true</t>
        </is>
      </c>
      <c r="K60" s="2" t="inlineStr">
        <is>
          <t>https://recrutement.fiveguys.fr/</t>
        </is>
      </c>
      <c r="L60" s="2" t="inlineStr">
        <is>
          <t>Favicon / company logo</t>
        </is>
      </c>
      <c r="M60" s="5" t="n">
        <v>46255</v>
      </c>
      <c r="N60" s="2" t="inlineStr">
        <is>
          <t>Location: Paris 9ème – Haussmann. Official Five Guys careers page currently lists Équipier Polyvalent H/F — Paris 9ème, Haussmann. French: French read/write/speak indispensable | English: Not specified | Student friendly: Yes | Embedded brand mark. Re-check the live job page before applying; vacancies can close or change.</t>
        </is>
      </c>
    </row>
    <row r="61" ht="43.2" customHeight="1">
      <c r="A61" s="2" t="n"/>
      <c r="B61" s="2" t="inlineStr">
        <is>
          <t>Burger King</t>
        </is>
      </c>
      <c r="C61" s="2" t="inlineStr">
        <is>
          <t>Part-time / CDI</t>
        </is>
      </c>
      <c r="D61" s="2" t="inlineStr">
        <is>
          <t>Paris / Greater Paris</t>
        </is>
      </c>
      <c r="E61" s="2" t="inlineStr">
        <is>
          <t>Not specified</t>
        </is>
      </c>
      <c r="F61" s="2" t="inlineStr">
        <is>
          <t>Food Service / Fast Food (QSR)</t>
        </is>
      </c>
      <c r="G61" s="2" t="inlineStr">
        <is>
          <t>Équipier•ère</t>
        </is>
      </c>
      <c r="H61" s="2" t="inlineStr">
        <is>
          <t>Paris 10th arrondissement (Gare de l'Est) : 93 Boulevard de Strasbourg, 75010 Paris</t>
        </is>
      </c>
      <c r="I61" s="2" t="inlineStr">
        <is>
          <t>🟡 Company recruits part-time; exact current location not verified</t>
        </is>
      </c>
      <c r="J61" s="2" t="inlineStr">
        <is>
          <t>https://emploi.burgerking.fr/nos-metiers/equipier/</t>
        </is>
      </c>
      <c r="K61" s="2" t="inlineStr">
        <is>
          <t>https://emploi.burgerking.fr/</t>
        </is>
      </c>
      <c r="L61" s="2" t="inlineStr">
        <is>
          <t>Favicon / company logo</t>
        </is>
      </c>
      <c r="M61" s="5" t="n">
        <v>46255</v>
      </c>
      <c r="N61" s="2" t="inlineStr">
        <is>
          <t>French: French likely for customer service | English: Not specified | Student friendly: Yes | Embedded brand mark. Re-check the live job page before applying; vacancies can close or change.</t>
        </is>
      </c>
    </row>
    <row r="62" ht="43.2" customHeight="1">
      <c r="A62" s="2" t="n"/>
      <c r="B62" s="2" t="inlineStr">
        <is>
          <t>Burger King</t>
        </is>
      </c>
      <c r="C62" s="2" t="inlineStr">
        <is>
          <t>Part-time / CDI</t>
        </is>
      </c>
      <c r="D62" s="2" t="inlineStr">
        <is>
          <t>Paris / Greater Paris</t>
        </is>
      </c>
      <c r="E62" s="2" t="inlineStr">
        <is>
          <t>Not specified</t>
        </is>
      </c>
      <c r="F62" s="2" t="inlineStr">
        <is>
          <t>Food Service / Fast Food (QSR)</t>
        </is>
      </c>
      <c r="G62" s="2" t="inlineStr">
        <is>
          <t>Équipier•ère</t>
        </is>
      </c>
      <c r="H62" s="2" t="inlineStr">
        <is>
          <t>Paris 10th arrondissement (Gare du Nord) : 25 Rue de Dunkerque, 75010 Paris</t>
        </is>
      </c>
      <c r="I62" s="2" t="inlineStr">
        <is>
          <t>🟡 Company recruits part-time; exact current location not verified</t>
        </is>
      </c>
      <c r="J62" s="2" t="inlineStr">
        <is>
          <t>https://emploi.burgerking.fr/nos-metiers/equipier/</t>
        </is>
      </c>
      <c r="K62" s="2" t="inlineStr">
        <is>
          <t>https://emploi.burgerking.fr/</t>
        </is>
      </c>
      <c r="L62" s="2" t="inlineStr">
        <is>
          <t>Favicon / company logo</t>
        </is>
      </c>
      <c r="M62" s="5" t="n">
        <v>46255</v>
      </c>
      <c r="N62" s="2" t="inlineStr">
        <is>
          <t>French: French likely for customer service | English: Not specified | Student friendly: Yes | Embedded brand mark. Re-check the live job page before applying; vacancies can close or change.</t>
        </is>
      </c>
    </row>
    <row r="63" ht="43.2" customHeight="1">
      <c r="A63" s="2" t="n"/>
      <c r="B63" s="2" t="inlineStr">
        <is>
          <t>Burger King</t>
        </is>
      </c>
      <c r="C63" s="2" t="inlineStr">
        <is>
          <t>Part-time / CDI</t>
        </is>
      </c>
      <c r="D63" s="2" t="inlineStr">
        <is>
          <t>Paris / Greater Paris</t>
        </is>
      </c>
      <c r="E63" s="2" t="inlineStr">
        <is>
          <t>Not specified</t>
        </is>
      </c>
      <c r="F63" s="2" t="inlineStr">
        <is>
          <t>Food Service / Fast Food (QSR)</t>
        </is>
      </c>
      <c r="G63" s="2" t="inlineStr">
        <is>
          <t>Équipier•ère</t>
        </is>
      </c>
      <c r="H63" s="2" t="inlineStr">
        <is>
          <t>Paris 11th arrondissement (Bastille) : 20 Rue de la Roquette, 75011 Paris</t>
        </is>
      </c>
      <c r="I63" s="2" t="inlineStr">
        <is>
          <t>🟡 Company recruits part-time; exact current location not verified</t>
        </is>
      </c>
      <c r="J63" s="2" t="inlineStr">
        <is>
          <t>https://emploi.burgerking.fr/nos-metiers/equipier/</t>
        </is>
      </c>
      <c r="K63" s="2" t="inlineStr">
        <is>
          <t>https://emploi.burgerking.fr/</t>
        </is>
      </c>
      <c r="L63" s="2" t="inlineStr">
        <is>
          <t>Favicon / company logo</t>
        </is>
      </c>
      <c r="M63" s="5" t="n">
        <v>46255</v>
      </c>
      <c r="N63" s="2" t="inlineStr">
        <is>
          <t>French: French likely for customer service | English: Not specified | Student friendly: Yes | Embedded brand mark. Re-check the live job page before applying; vacancies can close or change.</t>
        </is>
      </c>
    </row>
    <row r="64" ht="43.2" customHeight="1">
      <c r="A64" s="2" t="n"/>
      <c r="B64" s="2" t="inlineStr">
        <is>
          <t>Burger King</t>
        </is>
      </c>
      <c r="C64" s="2" t="inlineStr">
        <is>
          <t>Part-time / CDI</t>
        </is>
      </c>
      <c r="D64" s="2" t="inlineStr">
        <is>
          <t>Paris / Greater Paris</t>
        </is>
      </c>
      <c r="E64" s="2" t="inlineStr">
        <is>
          <t>Not specified</t>
        </is>
      </c>
      <c r="F64" s="2" t="inlineStr">
        <is>
          <t>Food Service / Fast Food (QSR)</t>
        </is>
      </c>
      <c r="G64" s="2" t="inlineStr">
        <is>
          <t>Équipier•ère</t>
        </is>
      </c>
      <c r="H64" s="2" t="inlineStr">
        <is>
          <t>Paris 12th arrondissement (Daumesnil) : 279 Avenue Daumesnil, 75012 Paris</t>
        </is>
      </c>
      <c r="I64" s="2" t="inlineStr">
        <is>
          <t>🟡 Company recruits part-time; exact current location not verified</t>
        </is>
      </c>
      <c r="J64" s="2" t="inlineStr">
        <is>
          <t>https://emploi.burgerking.fr/nos-metiers/equipier/</t>
        </is>
      </c>
      <c r="K64" s="2" t="inlineStr">
        <is>
          <t>https://emploi.burgerking.fr/</t>
        </is>
      </c>
      <c r="L64" s="2" t="inlineStr">
        <is>
          <t>Favicon / company logo</t>
        </is>
      </c>
      <c r="M64" s="5" t="n">
        <v>46255</v>
      </c>
      <c r="N64" s="2" t="inlineStr">
        <is>
          <t>French: French likely for customer service | English: Not specified | Student friendly: Yes | Embedded brand mark. Re-check the live job page before applying; vacancies can close or change.</t>
        </is>
      </c>
    </row>
    <row r="65" ht="43.2" customHeight="1">
      <c r="A65" s="2" t="n"/>
      <c r="B65" s="2" t="inlineStr">
        <is>
          <t>Burger King</t>
        </is>
      </c>
      <c r="C65" s="2" t="inlineStr">
        <is>
          <t>Part-time / CDI</t>
        </is>
      </c>
      <c r="D65" s="2" t="inlineStr">
        <is>
          <t>Paris / Greater Paris</t>
        </is>
      </c>
      <c r="E65" s="2" t="inlineStr">
        <is>
          <t>Not specified</t>
        </is>
      </c>
      <c r="F65" s="2" t="inlineStr">
        <is>
          <t>Food Service / Fast Food (QSR)</t>
        </is>
      </c>
      <c r="G65" s="2" t="inlineStr">
        <is>
          <t>Équipier•ère</t>
        </is>
      </c>
      <c r="H65" s="2" t="inlineStr">
        <is>
          <t>Paris 12th arrondissement (Nation) : 4 Avenue du Trône, 75012 Paris</t>
        </is>
      </c>
      <c r="I65" s="2" t="inlineStr">
        <is>
          <t>🟡 Company recruits part-time; exact current location not verified</t>
        </is>
      </c>
      <c r="J65" s="2" t="inlineStr">
        <is>
          <t>https://emploi.burgerking.fr/nos-metiers/equipier/</t>
        </is>
      </c>
      <c r="K65" s="2" t="inlineStr">
        <is>
          <t>https://emploi.burgerking.fr/</t>
        </is>
      </c>
      <c r="L65" s="2" t="inlineStr">
        <is>
          <t>Favicon / company logo</t>
        </is>
      </c>
      <c r="M65" s="5" t="n">
        <v>46255</v>
      </c>
      <c r="N65" s="2" t="inlineStr">
        <is>
          <t>French: French likely for customer service | English: Not specified | Student friendly: Yes | Embedded brand mark. Re-check the live job page before applying; vacancies can close or change.</t>
        </is>
      </c>
    </row>
    <row r="66" ht="43.2" customHeight="1">
      <c r="A66" s="2" t="n"/>
      <c r="B66" s="2" t="inlineStr">
        <is>
          <t>Burger King</t>
        </is>
      </c>
      <c r="C66" s="2" t="inlineStr">
        <is>
          <t>Part-time / CDI</t>
        </is>
      </c>
      <c r="D66" s="2" t="inlineStr">
        <is>
          <t>Paris / Greater Paris</t>
        </is>
      </c>
      <c r="E66" s="2" t="inlineStr">
        <is>
          <t>Not specified</t>
        </is>
      </c>
      <c r="F66" s="2" t="inlineStr">
        <is>
          <t>Food Service / Fast Food (QSR)</t>
        </is>
      </c>
      <c r="G66" s="2" t="inlineStr">
        <is>
          <t>Équipier•ère</t>
        </is>
      </c>
      <c r="H66" s="2" t="inlineStr">
        <is>
          <t>Paris 13th arrondissement (Bercy) : 1 Rue George Balanchine, 75013 Paris</t>
        </is>
      </c>
      <c r="I66" s="2" t="inlineStr">
        <is>
          <t>🟡 Company recruits part-time; exact current location not verified</t>
        </is>
      </c>
      <c r="J66" s="2" t="inlineStr">
        <is>
          <t>https://emploi.burgerking.fr/nos-metiers/equipier/</t>
        </is>
      </c>
      <c r="K66" s="2" t="inlineStr">
        <is>
          <t>https://emploi.burgerking.fr/</t>
        </is>
      </c>
      <c r="L66" s="2" t="inlineStr">
        <is>
          <t>Favicon / company logo</t>
        </is>
      </c>
      <c r="M66" s="5" t="n">
        <v>46255</v>
      </c>
      <c r="N66" s="2" t="inlineStr">
        <is>
          <t>French: French likely for customer service | English: Not specified | Student friendly: Yes | Embedded brand mark. Re-check the live job page before applying; vacancies can close or change.</t>
        </is>
      </c>
    </row>
    <row r="67" ht="43.2" customHeight="1">
      <c r="A67" s="2" t="n"/>
      <c r="B67" s="2" t="inlineStr">
        <is>
          <t>Burger King</t>
        </is>
      </c>
      <c r="C67" s="2" t="inlineStr">
        <is>
          <t>Part-time / CDI</t>
        </is>
      </c>
      <c r="D67" s="2" t="inlineStr">
        <is>
          <t>Paris / Greater Paris</t>
        </is>
      </c>
      <c r="E67" s="2" t="inlineStr">
        <is>
          <t>Not specified</t>
        </is>
      </c>
      <c r="F67" s="2" t="inlineStr">
        <is>
          <t>Food Service / Fast Food (QSR)</t>
        </is>
      </c>
      <c r="G67" s="2" t="inlineStr">
        <is>
          <t>Équipier•ère</t>
        </is>
      </c>
      <c r="H67" s="2" t="inlineStr">
        <is>
          <t>Paris 13th arrondissement (François Mitterrand Library) : 79-81 Quai de la Gare, 75013 Paris</t>
        </is>
      </c>
      <c r="I67" s="2" t="inlineStr">
        <is>
          <t>🟡 Company recruits part-time; exact current location not verified</t>
        </is>
      </c>
      <c r="J67" s="2" t="inlineStr">
        <is>
          <t>https://emploi.burgerking.fr/nos-metiers/equipier/</t>
        </is>
      </c>
      <c r="K67" s="2" t="inlineStr">
        <is>
          <t>https://emploi.burgerking.fr/</t>
        </is>
      </c>
      <c r="L67" s="2" t="inlineStr">
        <is>
          <t>Favicon / company logo</t>
        </is>
      </c>
      <c r="M67" s="5" t="n">
        <v>46255</v>
      </c>
      <c r="N67" s="2" t="inlineStr">
        <is>
          <t>French: French likely for customer service | English: Not specified | Student friendly: Yes | Embedded brand mark. Re-check the live job page before applying; vacancies can close or change.</t>
        </is>
      </c>
    </row>
    <row r="68" ht="43.2" customHeight="1">
      <c r="A68" s="2" t="n"/>
      <c r="B68" s="2" t="inlineStr">
        <is>
          <t>Burger King</t>
        </is>
      </c>
      <c r="C68" s="2" t="inlineStr">
        <is>
          <t>Part-time / CDI</t>
        </is>
      </c>
      <c r="D68" s="2" t="inlineStr">
        <is>
          <t>Paris / Greater Paris</t>
        </is>
      </c>
      <c r="E68" s="2" t="inlineStr">
        <is>
          <t>Not specified</t>
        </is>
      </c>
      <c r="F68" s="2" t="inlineStr">
        <is>
          <t>Food Service / Fast Food (QSR)</t>
        </is>
      </c>
      <c r="G68" s="2" t="inlineStr">
        <is>
          <t>Équipier•ère</t>
        </is>
      </c>
      <c r="H68" s="2" t="inlineStr">
        <is>
          <t>Paris 14e (Alésia) : 78-80 Avenue du Général Leclerc, 75014 Paris</t>
        </is>
      </c>
      <c r="I68" s="2" t="inlineStr">
        <is>
          <t>🟡 Company recruits part-time; exact current location not verified</t>
        </is>
      </c>
      <c r="J68" s="2" t="inlineStr">
        <is>
          <t>https://emploi.burgerking.fr/nos-metiers/equipier/</t>
        </is>
      </c>
      <c r="K68" s="2" t="inlineStr">
        <is>
          <t>https://emploi.burgerking.fr/</t>
        </is>
      </c>
      <c r="L68" s="2" t="inlineStr">
        <is>
          <t>Favicon / company logo</t>
        </is>
      </c>
      <c r="M68" s="5" t="n">
        <v>46255</v>
      </c>
      <c r="N68" s="2" t="inlineStr">
        <is>
          <t>French: French likely for customer service | English: Not specified | Student friendly: Yes | Embedded brand mark. Re-check the live job page before applying; vacancies can close or change.</t>
        </is>
      </c>
    </row>
    <row r="69" ht="43.2" customHeight="1">
      <c r="A69" s="2" t="n"/>
      <c r="B69" s="2" t="inlineStr">
        <is>
          <t>Burger King</t>
        </is>
      </c>
      <c r="C69" s="2" t="inlineStr">
        <is>
          <t>Part-time / CDI</t>
        </is>
      </c>
      <c r="D69" s="2" t="inlineStr">
        <is>
          <t>Paris / Greater Paris</t>
        </is>
      </c>
      <c r="E69" s="2" t="inlineStr">
        <is>
          <t>Not specified</t>
        </is>
      </c>
      <c r="F69" s="2" t="inlineStr">
        <is>
          <t>Food Service / Fast Food (QSR)</t>
        </is>
      </c>
      <c r="G69" s="2" t="inlineStr">
        <is>
          <t>Équipier•ère</t>
        </is>
      </c>
      <c r="H69" s="2" t="inlineStr">
        <is>
          <t>Paris 14e (Montparnasse) : 84 Boulevard du Montparnasse, 75014 Paris</t>
        </is>
      </c>
      <c r="I69" s="2" t="inlineStr">
        <is>
          <t>🟡 Company recruits part-time; exact current location not verified</t>
        </is>
      </c>
      <c r="J69" s="2" t="inlineStr">
        <is>
          <t>https://emploi.burgerking.fr/nos-metiers/equipier/</t>
        </is>
      </c>
      <c r="K69" s="2" t="inlineStr">
        <is>
          <t>https://emploi.burgerking.fr/</t>
        </is>
      </c>
      <c r="L69" s="2" t="inlineStr">
        <is>
          <t>Favicon / company logo</t>
        </is>
      </c>
      <c r="M69" s="5" t="n">
        <v>46255</v>
      </c>
      <c r="N69" s="2" t="inlineStr">
        <is>
          <t>French: French likely for customer service | English: Not specified | Student friendly: Yes | Embedded brand mark. Re-check the live job page before applying; vacancies can close or change.</t>
        </is>
      </c>
    </row>
    <row r="70" ht="43.2" customHeight="1">
      <c r="A70" s="2" t="n"/>
      <c r="B70" s="2" t="inlineStr">
        <is>
          <t>Burger King</t>
        </is>
      </c>
      <c r="C70" s="2" t="inlineStr">
        <is>
          <t>Part-time / CDI</t>
        </is>
      </c>
      <c r="D70" s="2" t="inlineStr">
        <is>
          <t>Paris / Greater Paris</t>
        </is>
      </c>
      <c r="E70" s="2" t="inlineStr">
        <is>
          <t>Not specified</t>
        </is>
      </c>
      <c r="F70" s="2" t="inlineStr">
        <is>
          <t>Food Service / Fast Food (QSR)</t>
        </is>
      </c>
      <c r="G70" s="2" t="inlineStr">
        <is>
          <t>Équipier•ère</t>
        </is>
      </c>
      <c r="H70" s="2" t="inlineStr">
        <is>
          <t>Paris 15e (Beaugrenelle) : 7 Rue Linois (Immeuble Panoramic), 75015 Paris</t>
        </is>
      </c>
      <c r="I70" s="2" t="inlineStr">
        <is>
          <t>🟡 Company recruits part-time; exact current location not verified</t>
        </is>
      </c>
      <c r="J70" s="2" t="inlineStr">
        <is>
          <t>https://emploi.burgerking.fr/nos-metiers/equipier/</t>
        </is>
      </c>
      <c r="K70" s="2" t="inlineStr">
        <is>
          <t>https://emploi.burgerking.fr/</t>
        </is>
      </c>
      <c r="L70" s="2" t="inlineStr">
        <is>
          <t>Favicon / company logo</t>
        </is>
      </c>
      <c r="M70" s="5" t="n">
        <v>46255</v>
      </c>
      <c r="N70" s="2" t="inlineStr">
        <is>
          <t>French: French likely for customer service | English: Not specified | Student friendly: Yes | Embedded brand mark. Re-check the live job page before applying; vacancies can close or change.</t>
        </is>
      </c>
    </row>
    <row r="71" ht="43.2" customHeight="1">
      <c r="A71" s="2" t="n"/>
      <c r="B71" s="2" t="inlineStr">
        <is>
          <t>Burger King</t>
        </is>
      </c>
      <c r="C71" s="2" t="inlineStr">
        <is>
          <t>Part-time / CDI</t>
        </is>
      </c>
      <c r="D71" s="2" t="inlineStr">
        <is>
          <t>Paris / Greater Paris</t>
        </is>
      </c>
      <c r="E71" s="2" t="inlineStr">
        <is>
          <t>Not specified</t>
        </is>
      </c>
      <c r="F71" s="2" t="inlineStr">
        <is>
          <t>Food Service / Fast Food (QSR)</t>
        </is>
      </c>
      <c r="G71" s="2" t="inlineStr">
        <is>
          <t>Équipier•ère</t>
        </is>
      </c>
      <c r="H71" s="2" t="inlineStr">
        <is>
          <t>Paris 15e (Vaugirard) : 286 Rue de Vaugirard, 75015 Paris</t>
        </is>
      </c>
      <c r="I71" s="2" t="inlineStr">
        <is>
          <t>🟡 Company recruits part-time; exact current location not verified</t>
        </is>
      </c>
      <c r="J71" s="2" t="inlineStr">
        <is>
          <t>https://emploi.burgerking.fr/nos-metiers/equipier/</t>
        </is>
      </c>
      <c r="K71" s="2" t="inlineStr">
        <is>
          <t>https://emploi.burgerking.fr/</t>
        </is>
      </c>
      <c r="L71" s="2" t="inlineStr">
        <is>
          <t>Favicon / company logo</t>
        </is>
      </c>
      <c r="M71" s="5" t="n">
        <v>46255</v>
      </c>
      <c r="N71" s="2" t="inlineStr">
        <is>
          <t>French: French likely for customer service | English: Not specified | Student friendly: Yes | Embedded brand mark. Re-check the live job page before applying; vacancies can close or change.</t>
        </is>
      </c>
    </row>
    <row r="72" ht="43.2" customHeight="1">
      <c r="A72" s="2" t="n"/>
      <c r="B72" s="2" t="inlineStr">
        <is>
          <t>Burger King</t>
        </is>
      </c>
      <c r="C72" s="2" t="inlineStr">
        <is>
          <t>Part-time / CDI</t>
        </is>
      </c>
      <c r="D72" s="2" t="inlineStr">
        <is>
          <t>Paris / Greater Paris</t>
        </is>
      </c>
      <c r="E72" s="2" t="inlineStr">
        <is>
          <t>Not specified</t>
        </is>
      </c>
      <c r="F72" s="2" t="inlineStr">
        <is>
          <t>Food Service / Fast Food (QSR)</t>
        </is>
      </c>
      <c r="G72" s="2" t="inlineStr">
        <is>
          <t>Équipier•ère</t>
        </is>
      </c>
      <c r="H72" s="2" t="inlineStr">
        <is>
          <t>Paris 16e (Radio France) : 18 Avenue du Président Kennedy, 75016 Paris</t>
        </is>
      </c>
      <c r="I72" s="2" t="inlineStr">
        <is>
          <t>🟡 Company recruits part-time; exact current location not verified</t>
        </is>
      </c>
      <c r="J72" s="2" t="inlineStr">
        <is>
          <t>https://emploi.burgerking.fr/nos-metiers/equipier/</t>
        </is>
      </c>
      <c r="K72" s="2" t="inlineStr">
        <is>
          <t>https://emploi.burgerking.fr/</t>
        </is>
      </c>
      <c r="L72" s="2" t="inlineStr">
        <is>
          <t>Favicon / company logo</t>
        </is>
      </c>
      <c r="M72" s="5" t="n">
        <v>46255</v>
      </c>
      <c r="N72" s="2" t="inlineStr">
        <is>
          <t>French: French likely for customer service | English: Not specified | Student friendly: Yes | Embedded brand mark. Re-check the live job page before applying; vacancies can close or change.</t>
        </is>
      </c>
    </row>
    <row r="73" ht="43.2" customHeight="1">
      <c r="A73" s="2" t="n"/>
      <c r="B73" s="2" t="inlineStr">
        <is>
          <t>Burger King</t>
        </is>
      </c>
      <c r="C73" s="2" t="inlineStr">
        <is>
          <t>Part-time / CDI</t>
        </is>
      </c>
      <c r="D73" s="2" t="inlineStr">
        <is>
          <t>Paris / Greater Paris</t>
        </is>
      </c>
      <c r="E73" s="2" t="inlineStr">
        <is>
          <t>Not specified</t>
        </is>
      </c>
      <c r="F73" s="2" t="inlineStr">
        <is>
          <t>Food Service / Fast Food (QSR)</t>
        </is>
      </c>
      <c r="G73" s="2" t="inlineStr">
        <is>
          <t>Équipier•ère</t>
        </is>
      </c>
      <c r="H73" s="2" t="inlineStr">
        <is>
          <t>Paris 17e (Place des Ternes) : 16 Rue de Tilsitt, 75017 Paris</t>
        </is>
      </c>
      <c r="I73" s="2" t="inlineStr">
        <is>
          <t>🟡 Company recruits part-time; exact current location not verified</t>
        </is>
      </c>
      <c r="J73" s="2" t="inlineStr">
        <is>
          <t>https://emploi.burgerking.fr/nos-metiers/equipier/</t>
        </is>
      </c>
      <c r="K73" s="2" t="inlineStr">
        <is>
          <t>https://emploi.burgerking.fr/</t>
        </is>
      </c>
      <c r="L73" s="2" t="inlineStr">
        <is>
          <t>Favicon / company logo</t>
        </is>
      </c>
      <c r="M73" s="5" t="n">
        <v>46255</v>
      </c>
      <c r="N73" s="2" t="inlineStr">
        <is>
          <t>French: French likely for customer service | English: Not specified | Student friendly: Yes | Embedded brand mark. Re-check the live job page before applying; vacancies can close or change.</t>
        </is>
      </c>
    </row>
    <row r="74" ht="43.2" customHeight="1">
      <c r="A74" s="2" t="n"/>
      <c r="B74" s="2" t="inlineStr">
        <is>
          <t>Burger King</t>
        </is>
      </c>
      <c r="C74" s="2" t="inlineStr">
        <is>
          <t>Part-time / CDI</t>
        </is>
      </c>
      <c r="D74" s="2" t="inlineStr">
        <is>
          <t>Paris / Greater Paris</t>
        </is>
      </c>
      <c r="E74" s="2" t="inlineStr">
        <is>
          <t>Not specified</t>
        </is>
      </c>
      <c r="F74" s="2" t="inlineStr">
        <is>
          <t>Food Service / Fast Food (QSR)</t>
        </is>
      </c>
      <c r="G74" s="2" t="inlineStr">
        <is>
          <t>Équipier•ère</t>
        </is>
      </c>
      <c r="H74" s="2" t="inlineStr">
        <is>
          <t>Paris 17e (Porte de Clichy) : 187 Avenue de Clichy, 75017 Paris</t>
        </is>
      </c>
      <c r="I74" s="2" t="inlineStr">
        <is>
          <t>🟡 Company recruits part-time; exact current location not verified</t>
        </is>
      </c>
      <c r="J74" s="2" t="inlineStr">
        <is>
          <t>https://emploi.burgerking.fr/nos-metiers/equipier/</t>
        </is>
      </c>
      <c r="K74" s="2" t="inlineStr">
        <is>
          <t>https://emploi.burgerking.fr/</t>
        </is>
      </c>
      <c r="L74" s="2" t="inlineStr">
        <is>
          <t>Favicon / company logo</t>
        </is>
      </c>
      <c r="M74" s="5" t="n">
        <v>46255</v>
      </c>
      <c r="N74" s="2" t="inlineStr">
        <is>
          <t>French: French likely for customer service | English: Not specified | Student friendly: Yes | Embedded brand mark. Re-check the live job page before applying; vacancies can close or change.</t>
        </is>
      </c>
    </row>
    <row r="75" ht="43.2" customHeight="1">
      <c r="A75" s="2" t="n"/>
      <c r="B75" s="2" t="inlineStr">
        <is>
          <t>Burger King</t>
        </is>
      </c>
      <c r="C75" s="2" t="inlineStr">
        <is>
          <t>Part-time / CDI</t>
        </is>
      </c>
      <c r="D75" s="2" t="inlineStr">
        <is>
          <t>Paris / Greater Paris</t>
        </is>
      </c>
      <c r="E75" s="2" t="inlineStr">
        <is>
          <t>Not specified</t>
        </is>
      </c>
      <c r="F75" s="2" t="inlineStr">
        <is>
          <t>Food Service / Fast Food (QSR)</t>
        </is>
      </c>
      <c r="G75" s="2" t="inlineStr">
        <is>
          <t>Équipier•ère</t>
        </is>
      </c>
      <c r="H75" s="2" t="inlineStr">
        <is>
          <t>Paris 18e (Barbès) : 3 Boulevard Barbès, 75018 Paris</t>
        </is>
      </c>
      <c r="I75" s="2" t="inlineStr">
        <is>
          <t>🟡 Company recruits part-time; exact current location not verified</t>
        </is>
      </c>
      <c r="J75" s="2" t="inlineStr">
        <is>
          <t>https://emploi.burgerking.fr/nos-metiers/equipier/</t>
        </is>
      </c>
      <c r="K75" s="2" t="inlineStr">
        <is>
          <t>https://emploi.burgerking.fr/</t>
        </is>
      </c>
      <c r="L75" s="2" t="inlineStr">
        <is>
          <t>Favicon / company logo</t>
        </is>
      </c>
      <c r="M75" s="5" t="n">
        <v>46255</v>
      </c>
      <c r="N75" s="2" t="inlineStr">
        <is>
          <t>French: French likely for customer service | English: Not specified | Student friendly: Yes | Embedded brand mark. Re-check the live job page before applying; vacancies can close or change.</t>
        </is>
      </c>
    </row>
    <row r="76" ht="43.2" customHeight="1">
      <c r="A76" s="2" t="n"/>
      <c r="B76" s="2" t="inlineStr">
        <is>
          <t>Burger King</t>
        </is>
      </c>
      <c r="C76" s="2" t="inlineStr">
        <is>
          <t>Part-time / CDI</t>
        </is>
      </c>
      <c r="D76" s="2" t="inlineStr">
        <is>
          <t>Paris / Greater Paris</t>
        </is>
      </c>
      <c r="E76" s="2" t="inlineStr">
        <is>
          <t>Not specified</t>
        </is>
      </c>
      <c r="F76" s="2" t="inlineStr">
        <is>
          <t>Food Service / Fast Food (QSR)</t>
        </is>
      </c>
      <c r="G76" s="2" t="inlineStr">
        <is>
          <t>Équipier•ère</t>
        </is>
      </c>
      <c r="H76" s="2" t="inlineStr">
        <is>
          <t>Paris 1st arrondissement (Les Halles) : 2 Rue Pierre Lescot, 75001 Paris</t>
        </is>
      </c>
      <c r="I76" s="2" t="inlineStr">
        <is>
          <t>🟡 Company recruits part-time; exact current location not verified</t>
        </is>
      </c>
      <c r="J76" s="2" t="inlineStr">
        <is>
          <t>https://emploi.burgerking.fr/nos-metiers/equipier/</t>
        </is>
      </c>
      <c r="K76" s="2" t="inlineStr">
        <is>
          <t>https://emploi.burgerking.fr/</t>
        </is>
      </c>
      <c r="L76" s="2" t="inlineStr">
        <is>
          <t>Favicon / company logo</t>
        </is>
      </c>
      <c r="M76" s="5" t="n">
        <v>46255</v>
      </c>
      <c r="N76" s="2" t="inlineStr">
        <is>
          <t>French: French likely for customer service | English: Not specified | Student friendly: Yes | Embedded brand mark. Re-check the live job page before applying; vacancies can close or change.</t>
        </is>
      </c>
    </row>
    <row r="77" ht="43.2" customHeight="1">
      <c r="A77" s="2" t="n"/>
      <c r="B77" s="2" t="inlineStr">
        <is>
          <t>Burger King</t>
        </is>
      </c>
      <c r="C77" s="2" t="inlineStr">
        <is>
          <t>Part-time / CDI</t>
        </is>
      </c>
      <c r="D77" s="2" t="inlineStr">
        <is>
          <t>Paris / Greater Paris</t>
        </is>
      </c>
      <c r="E77" s="2" t="inlineStr">
        <is>
          <t>Not specified</t>
        </is>
      </c>
      <c r="F77" s="2" t="inlineStr">
        <is>
          <t>Food Service / Fast Food (QSR)</t>
        </is>
      </c>
      <c r="G77" s="2" t="inlineStr">
        <is>
          <t>Équipier•ère</t>
        </is>
      </c>
      <c r="H77" s="2" t="inlineStr">
        <is>
          <t>Paris 3rd arrondissement (République) : 23 Place de la République, 75003 Paris</t>
        </is>
      </c>
      <c r="I77" s="2" t="inlineStr">
        <is>
          <t>🟡 Company recruits part-time; exact current location not verified</t>
        </is>
      </c>
      <c r="J77" s="2" t="inlineStr">
        <is>
          <t>https://emploi.burgerking.fr/nos-metiers/equipier/</t>
        </is>
      </c>
      <c r="K77" s="2" t="inlineStr">
        <is>
          <t>https://emploi.burgerking.fr/</t>
        </is>
      </c>
      <c r="L77" s="2" t="inlineStr">
        <is>
          <t>Favicon / company logo</t>
        </is>
      </c>
      <c r="M77" s="5" t="n">
        <v>46255</v>
      </c>
      <c r="N77" s="2" t="inlineStr">
        <is>
          <t>French: French likely for customer service | English: Not specified | Student friendly: Yes | Embedded brand mark. Re-check the live job page before applying; vacancies can close or change.</t>
        </is>
      </c>
    </row>
    <row r="78" ht="43.2" customHeight="1">
      <c r="A78" s="2" t="n"/>
      <c r="B78" s="2" t="inlineStr">
        <is>
          <t>Burger King</t>
        </is>
      </c>
      <c r="C78" s="2" t="inlineStr">
        <is>
          <t>Part-time / CDI</t>
        </is>
      </c>
      <c r="D78" s="2" t="inlineStr">
        <is>
          <t>Paris / Greater Paris</t>
        </is>
      </c>
      <c r="E78" s="2" t="inlineStr">
        <is>
          <t>Not specified</t>
        </is>
      </c>
      <c r="F78" s="2" t="inlineStr">
        <is>
          <t>Food Service / Fast Food (QSR)</t>
        </is>
      </c>
      <c r="G78" s="2" t="inlineStr">
        <is>
          <t>Équipier•ère</t>
        </is>
      </c>
      <c r="H78" s="2" t="inlineStr">
        <is>
          <t>Paris 5e (Saint-Michel) : 63 Boulevard Saint-Michel, 75005 Paris</t>
        </is>
      </c>
      <c r="I78" s="2" t="inlineStr">
        <is>
          <t>🟡 Company recruits part-time; exact current location not verified</t>
        </is>
      </c>
      <c r="J78" s="2" t="inlineStr">
        <is>
          <t>https://emploi.burgerking.fr/nos-metiers/equipier/</t>
        </is>
      </c>
      <c r="K78" s="2" t="inlineStr">
        <is>
          <t>https://emploi.burgerking.fr/</t>
        </is>
      </c>
      <c r="L78" s="2" t="inlineStr">
        <is>
          <t>Favicon / company logo</t>
        </is>
      </c>
      <c r="M78" s="5" t="n">
        <v>46255</v>
      </c>
      <c r="N78" s="2" t="inlineStr">
        <is>
          <t>French: French likely for customer service | English: Not specified | Student friendly: Yes | Embedded brand mark. Re-check the live job page before applying; vacancies can close or change.</t>
        </is>
      </c>
    </row>
    <row r="79" ht="43.2" customHeight="1">
      <c r="A79" s="2" t="n"/>
      <c r="B79" s="2" t="inlineStr">
        <is>
          <t>Burger King</t>
        </is>
      </c>
      <c r="C79" s="2" t="inlineStr">
        <is>
          <t>Part-time / CDI</t>
        </is>
      </c>
      <c r="D79" s="2" t="inlineStr">
        <is>
          <t>Paris / Greater Paris</t>
        </is>
      </c>
      <c r="E79" s="2" t="inlineStr">
        <is>
          <t>Not specified</t>
        </is>
      </c>
      <c r="F79" s="2" t="inlineStr">
        <is>
          <t>Food Service / Fast Food (QSR)</t>
        </is>
      </c>
      <c r="G79" s="2" t="inlineStr">
        <is>
          <t>Équipier•ère</t>
        </is>
      </c>
      <c r="H79" s="2" t="inlineStr">
        <is>
          <t>Paris 8th arrondissement (Champs-Élysées) : 124 Rue La Boétie, 75008 Paris</t>
        </is>
      </c>
      <c r="I79" s="2" t="inlineStr">
        <is>
          <t>🟡 Company recruits part-time; exact current location not verified</t>
        </is>
      </c>
      <c r="J79" s="2" t="inlineStr">
        <is>
          <t>https://emploi.burgerking.fr/nos-metiers/equipier/</t>
        </is>
      </c>
      <c r="K79" s="2" t="inlineStr">
        <is>
          <t>https://emploi.burgerking.fr/</t>
        </is>
      </c>
      <c r="L79" s="2" t="inlineStr">
        <is>
          <t>Favicon / company logo</t>
        </is>
      </c>
      <c r="M79" s="5" t="n">
        <v>46255</v>
      </c>
      <c r="N79" s="2" t="inlineStr">
        <is>
          <t>French: French likely for customer service | English: Not specified | Student friendly: Yes | Embedded brand mark. Re-check the live job page before applying; vacancies can close or change.</t>
        </is>
      </c>
    </row>
    <row r="80" ht="43.2" customHeight="1">
      <c r="A80" s="2" t="n"/>
      <c r="B80" s="2" t="inlineStr">
        <is>
          <t>Burger King</t>
        </is>
      </c>
      <c r="C80" s="2" t="inlineStr">
        <is>
          <t>Part-time / CDI</t>
        </is>
      </c>
      <c r="D80" s="2" t="inlineStr">
        <is>
          <t>Paris / Greater Paris</t>
        </is>
      </c>
      <c r="E80" s="2" t="inlineStr">
        <is>
          <t>Not specified</t>
        </is>
      </c>
      <c r="F80" s="2" t="inlineStr">
        <is>
          <t>Food Service / Fast Food (QSR)</t>
        </is>
      </c>
      <c r="G80" s="2" t="inlineStr">
        <is>
          <t>Équipier•ère</t>
        </is>
      </c>
      <c r="H80" s="2" t="inlineStr">
        <is>
          <t>Paris 9th arrondissement (Opéra) : 36 Boulevard des Italiens, 75009 Paris</t>
        </is>
      </c>
      <c r="I80" s="2" t="inlineStr">
        <is>
          <t>🟡 Company recruits part-time; exact current location not verified</t>
        </is>
      </c>
      <c r="J80" s="2" t="inlineStr">
        <is>
          <t>https://emploi.burgerking.fr/nos-metiers/equipier/</t>
        </is>
      </c>
      <c r="K80" s="2" t="inlineStr">
        <is>
          <t>https://emploi.burgerking.fr/</t>
        </is>
      </c>
      <c r="L80" s="2" t="inlineStr">
        <is>
          <t>Favicon / company logo</t>
        </is>
      </c>
      <c r="M80" s="5" t="n">
        <v>46255</v>
      </c>
      <c r="N80" s="2" t="inlineStr">
        <is>
          <t>French: French likely for customer service | English: Not specified | Student friendly: Yes | Embedded brand mark. Re-check the live job page before applying; vacancies can close or change.</t>
        </is>
      </c>
    </row>
    <row r="81" ht="43.2" customHeight="1">
      <c r="A81" s="2" t="n"/>
      <c r="B81" s="2" t="inlineStr">
        <is>
          <t>Burger King</t>
        </is>
      </c>
      <c r="C81" s="2" t="inlineStr">
        <is>
          <t>Part-time / CDI</t>
        </is>
      </c>
      <c r="D81" s="2" t="inlineStr">
        <is>
          <t>Paris / Greater Paris</t>
        </is>
      </c>
      <c r="E81" s="2" t="inlineStr">
        <is>
          <t>Not specified</t>
        </is>
      </c>
      <c r="F81" s="2" t="inlineStr">
        <is>
          <t>Food Service / Fast Food (QSR)</t>
        </is>
      </c>
      <c r="G81" s="2" t="inlineStr">
        <is>
          <t>Équipier•ère</t>
        </is>
      </c>
      <c r="H81" s="2" t="inlineStr">
        <is>
          <t>Paris 9th arrondissement (Saint-Lazare Station) : Station exterior, 2 Rue d'Amsterdam, 75009 Paris</t>
        </is>
      </c>
      <c r="I81" s="2" t="inlineStr">
        <is>
          <t>🟡 Company recruits part-time; exact current location not verified</t>
        </is>
      </c>
      <c r="J81" s="2" t="inlineStr">
        <is>
          <t>https://emploi.burgerking.fr/nos-metiers/equipier/</t>
        </is>
      </c>
      <c r="K81" s="2" t="inlineStr">
        <is>
          <t>https://emploi.burgerking.fr/</t>
        </is>
      </c>
      <c r="L81" s="2" t="inlineStr">
        <is>
          <t>Favicon / company logo</t>
        </is>
      </c>
      <c r="M81" s="5" t="n">
        <v>46255</v>
      </c>
      <c r="N81" s="2" t="inlineStr">
        <is>
          <t>French: French likely for customer service | English: Not specified | Student friendly: Yes | Embedded brand mark. Re-check the live job page before applying; vacancies can close or change.</t>
        </is>
      </c>
    </row>
    <row r="82" ht="57.6" customHeight="1">
      <c r="A82" s="2" t="n"/>
      <c r="B82" s="2" t="inlineStr">
        <is>
          <t>KFC</t>
        </is>
      </c>
      <c r="C82" s="2" t="inlineStr">
        <is>
          <t>Part-time / CDI</t>
        </is>
      </c>
      <c r="D82" s="2" t="inlineStr">
        <is>
          <t>Paris / Greater Paris</t>
        </is>
      </c>
      <c r="E82" s="2" t="inlineStr">
        <is>
          <t>Not specified</t>
        </is>
      </c>
      <c r="F82" s="2" t="inlineStr">
        <is>
          <t>Food Service / Fast Food (QSR)</t>
        </is>
      </c>
      <c r="G82" s="2" t="inlineStr">
        <is>
          <t>Equipier Polyvalent</t>
        </is>
      </c>
      <c r="H82" s="2" t="inlineStr">
        <is>
          <t>102 Terrasse Boieldieu, 92800 Puteaux, France</t>
        </is>
      </c>
      <c r="I82" s="2" t="inlineStr">
        <is>
          <t>🟢 Currently hiring</t>
        </is>
      </c>
      <c r="J82" s="2" t="inlineStr">
        <is>
          <t>https://fr.indeed.com/q-kfc-le-week-end-l-paris-%2875%29-emplois.html</t>
        </is>
      </c>
      <c r="K82" s="2" t="inlineStr">
        <is>
          <t>https://www.kfc.fr/</t>
        </is>
      </c>
      <c r="L82" s="2" t="inlineStr">
        <is>
          <t>Favicon / company logo</t>
        </is>
      </c>
      <c r="M82" s="5" t="n">
        <v>46255</v>
      </c>
      <c r="N82" s="2" t="inlineStr">
        <is>
          <t>Location: Puteaux – La Défense. Current/recent listing: CDI, temps partiel, Équipier Polyvalent H/F. French: French likely for customer-facing work | English: Not specified | Student friendly: Yes | Embedded brand mark. Re-check the live job page before applying; vacancies can close or change.</t>
        </is>
      </c>
    </row>
    <row r="83" ht="57.6" customHeight="1">
      <c r="A83" s="2" t="n"/>
      <c r="B83" s="2" t="inlineStr">
        <is>
          <t>KFC</t>
        </is>
      </c>
      <c r="C83" s="2" t="inlineStr">
        <is>
          <t>Part-time / CDI</t>
        </is>
      </c>
      <c r="D83" s="2" t="inlineStr">
        <is>
          <t>Paris / Greater Paris</t>
        </is>
      </c>
      <c r="E83" s="2" t="inlineStr">
        <is>
          <t>Not specified</t>
        </is>
      </c>
      <c r="F83" s="2" t="inlineStr">
        <is>
          <t>Food Service / Fast Food (QSR)</t>
        </is>
      </c>
      <c r="G83" s="2" t="inlineStr">
        <is>
          <t>Equipier Polyvalent</t>
        </is>
      </c>
      <c r="H83" s="2" t="inlineStr">
        <is>
          <t>117 Rue Saint-Lazare, 75008 Paris, France</t>
        </is>
      </c>
      <c r="I83" s="2" t="inlineStr">
        <is>
          <t>🟢 Currently hiring</t>
        </is>
      </c>
      <c r="J83" s="2" t="inlineStr">
        <is>
          <t>https://fr.indeed.com/q-kfc-%C3%89quipier-polyvalent-l-paris-%2875%29-emplois.html</t>
        </is>
      </c>
      <c r="K83" s="2" t="inlineStr">
        <is>
          <t>https://www.kfc.fr/</t>
        </is>
      </c>
      <c r="L83" s="2" t="inlineStr">
        <is>
          <t>Favicon / company logo</t>
        </is>
      </c>
      <c r="M83" s="5" t="n">
        <v>46255</v>
      </c>
      <c r="N83" s="2" t="inlineStr">
        <is>
          <t>Location: Paris 8e – Saint-Lazare. Current listing: CDI, temps partiel, Employé polyvalent H/F. French: French likely for customer-facing work | English: Not specified | Student friendly: Yes | Embedded brand mark. Re-check the live job page before applying; vacancies can close or change.</t>
        </is>
      </c>
    </row>
    <row r="84" ht="57.6" customHeight="1">
      <c r="A84" s="2" t="n"/>
      <c r="B84" s="2" t="inlineStr">
        <is>
          <t>KFC</t>
        </is>
      </c>
      <c r="C84" s="2" t="inlineStr">
        <is>
          <t>Part-time / CDI</t>
        </is>
      </c>
      <c r="D84" s="2" t="inlineStr">
        <is>
          <t>Paris / Greater Paris</t>
        </is>
      </c>
      <c r="E84" s="2" t="inlineStr">
        <is>
          <t>Not specified</t>
        </is>
      </c>
      <c r="F84" s="2" t="inlineStr">
        <is>
          <t>Food Service / Fast Food (QSR)</t>
        </is>
      </c>
      <c r="G84" s="2" t="inlineStr">
        <is>
          <t>Equipier Polyvalent</t>
        </is>
      </c>
      <c r="H84" s="2" t="inlineStr">
        <is>
          <t>16 Boulevard de Clichy, 75018 Paris, France</t>
        </is>
      </c>
      <c r="I84" s="2" t="inlineStr">
        <is>
          <t>🟢 Currently hiring</t>
        </is>
      </c>
      <c r="J84" s="2" t="inlineStr">
        <is>
          <t>https://fr.indeed.com/q-kfc-l-paris-9e-%2875%29-emplois.html</t>
        </is>
      </c>
      <c r="K84" s="2" t="inlineStr">
        <is>
          <t>https://www.kfc.fr/</t>
        </is>
      </c>
      <c r="L84" s="2" t="inlineStr">
        <is>
          <t>Favicon / company logo</t>
        </is>
      </c>
      <c r="M84" s="5" t="n">
        <v>46255</v>
      </c>
      <c r="N84" s="2" t="inlineStr">
        <is>
          <t>Location: Paris 18e – Clichy. Current/recent listing: CDI, temps partiel, Employé polyvalent H/F. French: French likely for customer-facing work | English: Not specified | Student friendly: Yes | Embedded brand mark. Re-check the live job page before applying; vacancies can close or change.</t>
        </is>
      </c>
    </row>
    <row r="85" ht="57.6" customHeight="1">
      <c r="A85" s="2" t="n"/>
      <c r="B85" s="2" t="inlineStr">
        <is>
          <t>KFC</t>
        </is>
      </c>
      <c r="C85" s="2" t="inlineStr">
        <is>
          <t>Part-time / CDI</t>
        </is>
      </c>
      <c r="D85" s="2" t="inlineStr">
        <is>
          <t>Paris / Greater Paris</t>
        </is>
      </c>
      <c r="E85" s="2" t="inlineStr">
        <is>
          <t>Not specified</t>
        </is>
      </c>
      <c r="F85" s="2" t="inlineStr">
        <is>
          <t>Food Service / Fast Food (QSR)</t>
        </is>
      </c>
      <c r="G85" s="2" t="inlineStr">
        <is>
          <t>Equipier Polyvalent</t>
        </is>
      </c>
      <c r="H85" s="2" t="inlineStr">
        <is>
          <t>76 Avenue d'Italie, 75013 Paris, France</t>
        </is>
      </c>
      <c r="I85" s="2" t="inlineStr">
        <is>
          <t>🟢 Currently hiring</t>
        </is>
      </c>
      <c r="J85" s="2" t="inlineStr">
        <is>
          <t>https://fr.indeed.com/emplois?jlid=38ec80440089288&amp;q=equipier+polyvalent+en+temps+partiel+postes&amp;rbl=Paris+%2875%29</t>
        </is>
      </c>
      <c r="K85" s="2" t="inlineStr">
        <is>
          <t>https://www.kfc.fr/</t>
        </is>
      </c>
      <c r="L85" s="2" t="inlineStr">
        <is>
          <t>Favicon / company logo</t>
        </is>
      </c>
      <c r="M85" s="5" t="n">
        <v>46255</v>
      </c>
      <c r="N85" s="2" t="inlineStr">
        <is>
          <t>Location: Paris 13e – Italie. Current listing: CDI, temps partiel, Équipier Polyvalent H/F. French: French likely for customer-facing work | English: Not specified | Student friendly: Yes | Embedded brand mark. Re-check the live job page before applying; vacancies can close or change.</t>
        </is>
      </c>
    </row>
    <row r="86" ht="57.6" customHeight="1">
      <c r="A86" s="2" t="n"/>
      <c r="B86" s="2" t="inlineStr">
        <is>
          <t>KFC</t>
        </is>
      </c>
      <c r="C86" s="2" t="inlineStr">
        <is>
          <t>Part-time / CDI</t>
        </is>
      </c>
      <c r="D86" s="2" t="inlineStr">
        <is>
          <t>Paris / Greater Paris</t>
        </is>
      </c>
      <c r="E86" s="2" t="inlineStr">
        <is>
          <t>Not specified</t>
        </is>
      </c>
      <c r="F86" s="2" t="inlineStr">
        <is>
          <t>Food Service / Fast Food (QSR)</t>
        </is>
      </c>
      <c r="G86" s="2" t="inlineStr">
        <is>
          <t>Equipier Polyvalent</t>
        </is>
      </c>
      <c r="H86" s="2" t="inlineStr">
        <is>
          <t>94000 Créteil, France</t>
        </is>
      </c>
      <c r="I86" s="2" t="inlineStr">
        <is>
          <t>🟢 Currently hiring</t>
        </is>
      </c>
      <c r="J86" s="2" t="inlineStr">
        <is>
          <t>https://fr.indeed.com/q-kfc-%C3%89quipier-polyvalent-l-paris-%2875%29-emplois.html</t>
        </is>
      </c>
      <c r="K86" s="2" t="inlineStr">
        <is>
          <t>https://www.kfc.fr/</t>
        </is>
      </c>
      <c r="L86" s="2" t="inlineStr">
        <is>
          <t>Favicon / company logo</t>
        </is>
      </c>
      <c r="M86" s="5" t="n">
        <v>46255</v>
      </c>
      <c r="N86" s="2" t="inlineStr">
        <is>
          <t>Location: Créteil. Current listing: CDI, temps partiel, Équipier Polyvalent H/F; exact street address not exposed in the search result. French: French likely for customer-facing work | English: Not specified | Student friendly: Yes | Embedded brand mark. Re-check the live job page before applying; vacancies can close or change.</t>
        </is>
      </c>
    </row>
    <row r="87" ht="57.6" customHeight="1">
      <c r="A87" s="2" t="n"/>
      <c r="B87" s="2" t="inlineStr">
        <is>
          <t>KFC</t>
        </is>
      </c>
      <c r="C87" s="2" t="inlineStr">
        <is>
          <t>Part-time / CDI</t>
        </is>
      </c>
      <c r="D87" s="2" t="inlineStr">
        <is>
          <t>Paris / Greater Paris</t>
        </is>
      </c>
      <c r="E87" s="2" t="inlineStr">
        <is>
          <t>Not specified</t>
        </is>
      </c>
      <c r="F87" s="2" t="inlineStr">
        <is>
          <t>Food Service / Fast Food (QSR)</t>
        </is>
      </c>
      <c r="G87" s="2" t="inlineStr">
        <is>
          <t>Equipier Polyvalent</t>
        </is>
      </c>
      <c r="H87" s="2" t="inlineStr">
        <is>
          <t>94120 Fontenay-sous-Bois, France</t>
        </is>
      </c>
      <c r="I87" s="2" t="inlineStr">
        <is>
          <t>🟢 Currently hiring</t>
        </is>
      </c>
      <c r="J87" s="2" t="inlineStr">
        <is>
          <t>https://fr.indeed.com/q-kfc-%C3%89quipier-polyvalent-l-paris-%2875%29-emplois.html</t>
        </is>
      </c>
      <c r="K87" s="2" t="inlineStr">
        <is>
          <t>https://www.kfc.fr/</t>
        </is>
      </c>
      <c r="L87" s="2" t="inlineStr">
        <is>
          <t>Favicon / company logo</t>
        </is>
      </c>
      <c r="M87" s="5" t="n">
        <v>46255</v>
      </c>
      <c r="N87" s="2" t="inlineStr">
        <is>
          <t>Location: Fontenay-sous-Bois. Current listing: CDI, temps partiel, Employé polyvalent H/F; exact street address not exposed in the search result. French: French likely for customer-facing work | English: Not specified | Student friendly: Yes | Embedded brand mark. Re-check the live job page before applying; vacancies can close or change.</t>
        </is>
      </c>
    </row>
    <row r="88" ht="57.6" customHeight="1">
      <c r="A88" s="2" t="n"/>
      <c r="B88" s="2" t="inlineStr">
        <is>
          <t>Decathlon</t>
        </is>
      </c>
      <c r="C88" s="2" t="inlineStr">
        <is>
          <t>Part-time / CDI</t>
        </is>
      </c>
      <c r="D88" s="2" t="inlineStr">
        <is>
          <t>Paris 13e / 15e / 19e</t>
        </is>
      </c>
      <c r="E88" s="2" t="inlineStr">
        <is>
          <t>Not specified</t>
        </is>
      </c>
      <c r="F88" s="2" t="inlineStr">
        <is>
          <t>Specialized Retail (Sporting Goods)</t>
        </is>
      </c>
      <c r="G88" s="2" t="inlineStr">
        <is>
          <t>Sales / Customer Service Advisor</t>
        </is>
      </c>
      <c r="H88" s="2" t="inlineStr">
        <is>
          <t>203 Boulevard Macdonald, 75019 Paris, France</t>
        </is>
      </c>
      <c r="I88" s="2" t="inlineStr">
        <is>
          <t>🟢 Currently hiring</t>
        </is>
      </c>
      <c r="J88" s="2" t="inlineStr">
        <is>
          <t>https://joinus.decathlon.fr/fr/annonce/3247217-vendeur-se-cdi-temps-partiel-a-partir-de-septembre-75019-paris?s_o=wttj</t>
        </is>
      </c>
      <c r="K88" s="2" t="inlineStr">
        <is>
          <t>https://joinus.decathlon.fr/</t>
        </is>
      </c>
      <c r="L88" s="2" t="inlineStr">
        <is>
          <t>Favicon / company logo</t>
        </is>
      </c>
      <c r="M88" s="5" t="n">
        <v>46255</v>
      </c>
      <c r="N88" s="2" t="inlineStr">
        <is>
          <t>Location: Rosa Parks. Current official Decathlon listing: vendeur.se CDI temps partiel from September; published 08/08/2026. French: French likely for store customer service | English: Not specified | Student friendly: Yes | Embedded brand mark. Re-check the live job page before applying; vacancies can close or change.</t>
        </is>
      </c>
    </row>
    <row r="89" ht="57.6" customHeight="1">
      <c r="A89" s="2" t="n"/>
      <c r="B89" s="2" t="inlineStr">
        <is>
          <t>Decathlon</t>
        </is>
      </c>
      <c r="C89" s="2" t="inlineStr">
        <is>
          <t>Part-time / CDI</t>
        </is>
      </c>
      <c r="D89" s="2" t="inlineStr">
        <is>
          <t>Paris 13e / 15e / 19e</t>
        </is>
      </c>
      <c r="E89" s="2" t="inlineStr">
        <is>
          <t>Not specified</t>
        </is>
      </c>
      <c r="F89" s="2" t="inlineStr">
        <is>
          <t>Specialized Retail (Sporting Goods)</t>
        </is>
      </c>
      <c r="G89" s="2" t="inlineStr">
        <is>
          <t>Sales / Customer Service Advisor</t>
        </is>
      </c>
      <c r="H89" s="2" t="inlineStr">
        <is>
          <t>4–6 Rue Louis Armand, 75015 Paris, France</t>
        </is>
      </c>
      <c r="I89" s="2" t="inlineStr">
        <is>
          <t>🟢 Currently hiring</t>
        </is>
      </c>
      <c r="J89" s="2" t="inlineStr">
        <is>
          <t>https://joinus.decathlon.fr/en/annonce/4547765-conseiller-ere-vente-omnicanal-hf-cdi-temps-partiel-75015-paris-15e-arrondissement</t>
        </is>
      </c>
      <c r="K89" s="2" t="inlineStr">
        <is>
          <t>https://joinus.decathlon.fr/</t>
        </is>
      </c>
      <c r="L89" s="2" t="inlineStr">
        <is>
          <t>Favicon / company logo</t>
        </is>
      </c>
      <c r="M89" s="5" t="n">
        <v>46255</v>
      </c>
      <c r="N89" s="2" t="inlineStr">
        <is>
          <t>Location: Aquaboulevard. Current official Decathlon listing: CDI, temps partiel; published 14/08/2026. French: French likely for store customer service | English: Not specified | Student friendly: Yes | Embedded brand mark. Re-check the live job page before applying; vacancies can close or change.</t>
        </is>
      </c>
    </row>
    <row r="90" ht="43.2" customHeight="1">
      <c r="A90" s="2" t="n"/>
      <c r="B90" s="2" t="inlineStr">
        <is>
          <t>Monoprix</t>
        </is>
      </c>
      <c r="C90" s="2" t="inlineStr">
        <is>
          <t>Part-time / CDI</t>
        </is>
      </c>
      <c r="D90" s="2" t="inlineStr">
        <is>
          <t>Paris 4e / 9e</t>
        </is>
      </c>
      <c r="E90" s="2" t="inlineStr">
        <is>
          <t>Not specified</t>
        </is>
      </c>
      <c r="F90" s="2" t="inlineStr">
        <is>
          <t>Grocery Retail / Supermarkets</t>
        </is>
      </c>
      <c r="G90" s="2" t="inlineStr">
        <is>
          <t>Student part-time cashier / store employee</t>
        </is>
      </c>
      <c r="H90" s="2" t="inlineStr">
        <is>
          <t>71 Rue Saint-Antoine, 75004 Paris, France</t>
        </is>
      </c>
      <c r="I90" s="2" t="inlineStr">
        <is>
          <t>🟢 Current hiring signal found</t>
        </is>
      </c>
      <c r="J90" s="2" t="inlineStr">
        <is>
          <t>https://fr.indeed.com/viewjob?jk=4a9bcf51dc510310</t>
        </is>
      </c>
      <c r="K90" s="2" t="inlineStr">
        <is>
          <t>https://recrutement.monoprix.fr/</t>
        </is>
      </c>
      <c r="L90" s="2" t="inlineStr">
        <is>
          <t>Favicon / company logo</t>
        </is>
      </c>
      <c r="M90" s="5" t="n">
        <v>46255</v>
      </c>
      <c r="N90" s="2" t="inlineStr">
        <is>
          <t>French: French likely for customer service | English: Not specified | Student friendly: Yes | Embedded brand mark. Re-check the live job page before applying; vacancies can close or change.</t>
        </is>
      </c>
    </row>
    <row r="91" ht="57.6" customHeight="1">
      <c r="A91" s="2" t="n"/>
      <c r="B91" s="2" t="inlineStr">
        <is>
          <t>Carrefour</t>
        </is>
      </c>
      <c r="C91" s="2" t="inlineStr">
        <is>
          <t>Part-time / CDI</t>
        </is>
      </c>
      <c r="D91" s="2" t="inlineStr">
        <is>
          <t>Paris / Greater Paris</t>
        </is>
      </c>
      <c r="E91" s="2" t="inlineStr">
        <is>
          <t>Not specified</t>
        </is>
      </c>
      <c r="F91" s="2" t="inlineStr">
        <is>
          <t>Grocery Retail / Supermarkets</t>
        </is>
      </c>
      <c r="G91" s="2" t="inlineStr">
        <is>
          <t>Student commercial employee / cashier</t>
        </is>
      </c>
      <c r="H91" s="2" t="inlineStr">
        <is>
          <t>13 Résidence Martinval, 78240 Chambourcy, France</t>
        </is>
      </c>
      <c r="I91" s="2" t="inlineStr">
        <is>
          <t>🟢 Currently hiring</t>
        </is>
      </c>
      <c r="J91" s="2" t="inlineStr">
        <is>
          <t>https://fr.indeed.com/q-carrefour-job-%C3%89tudiant-l-paris-%2875%29-emplois.html</t>
        </is>
      </c>
      <c r="K91" s="2" t="inlineStr">
        <is>
          <t>https://recrute.carrefour.fr/</t>
        </is>
      </c>
      <c r="L91" s="2" t="inlineStr">
        <is>
          <t>Favicon / company logo</t>
        </is>
      </c>
      <c r="M91" s="5" t="n">
        <v>46255</v>
      </c>
      <c r="N91" s="2" t="inlineStr">
        <is>
          <t>Location: Chambourcy. Current listing: Employé commercial caisse, ideal student, CDI temps partiel. French: French likely | English: Not specified | Student friendly: Yes | Embedded brand mark. Re-check the live job page before applying; vacancies can close or change.</t>
        </is>
      </c>
    </row>
    <row r="92" ht="57.6" customHeight="1">
      <c r="A92" s="2" t="n"/>
      <c r="B92" s="2" t="inlineStr">
        <is>
          <t>Carrefour</t>
        </is>
      </c>
      <c r="C92" s="2" t="inlineStr">
        <is>
          <t>Part-time / CDI</t>
        </is>
      </c>
      <c r="D92" s="2" t="inlineStr">
        <is>
          <t>Paris / Greater Paris</t>
        </is>
      </c>
      <c r="E92" s="2" t="inlineStr">
        <is>
          <t>Not specified</t>
        </is>
      </c>
      <c r="F92" s="2" t="inlineStr">
        <is>
          <t>Grocery Retail / Supermarkets</t>
        </is>
      </c>
      <c r="G92" s="2" t="inlineStr">
        <is>
          <t>Student commercial employee / cashier</t>
        </is>
      </c>
      <c r="H92" s="2" t="inlineStr">
        <is>
          <t>280 Avenue Gabriel Péri, 78360 Montesson, France</t>
        </is>
      </c>
      <c r="I92" s="2" t="inlineStr">
        <is>
          <t>🟢 Currently hiring</t>
        </is>
      </c>
      <c r="J92" s="2" t="inlineStr">
        <is>
          <t>https://fr.indeed.com/q-carrefour-temps-partiel-l-paris-%2875%29-emplois.html</t>
        </is>
      </c>
      <c r="K92" s="2" t="inlineStr">
        <is>
          <t>https://recrute.carrefour.fr/</t>
        </is>
      </c>
      <c r="L92" s="2" t="inlineStr">
        <is>
          <t>Favicon / company logo</t>
        </is>
      </c>
      <c r="M92" s="5" t="n">
        <v>46255</v>
      </c>
      <c r="N92" s="2" t="inlineStr">
        <is>
          <t>Location: Montesson. Current listing: Employé commercial produits frais, ideal student, CDI temps partiel. French: French likely | English: Not specified | Student friendly: Yes | Embedded brand mark. Re-check the live job page before applying; vacancies can close or change.</t>
        </is>
      </c>
    </row>
    <row r="93" ht="57.6" customHeight="1">
      <c r="A93" s="2" t="n"/>
      <c r="B93" s="2" t="inlineStr">
        <is>
          <t>Carrefour</t>
        </is>
      </c>
      <c r="C93" s="2" t="inlineStr">
        <is>
          <t>Part-time / CDI</t>
        </is>
      </c>
      <c r="D93" s="2" t="inlineStr">
        <is>
          <t>Paris / Greater Paris</t>
        </is>
      </c>
      <c r="E93" s="2" t="inlineStr">
        <is>
          <t>Not specified</t>
        </is>
      </c>
      <c r="F93" s="2" t="inlineStr">
        <is>
          <t>Grocery Retail / Supermarkets</t>
        </is>
      </c>
      <c r="G93" s="2" t="inlineStr">
        <is>
          <t>Student commercial employee / cashier</t>
        </is>
      </c>
      <c r="H93" s="2" t="inlineStr">
        <is>
          <t>75004 Paris, France — exact street address not exposed in current listing</t>
        </is>
      </c>
      <c r="I93" s="2" t="inlineStr">
        <is>
          <t>🟢 Currently hiring</t>
        </is>
      </c>
      <c r="J93" s="2" t="inlineStr">
        <is>
          <t>https://fr.indeed.com/viewjob?jk=a8a19fc23ace8b18</t>
        </is>
      </c>
      <c r="K93" s="2" t="inlineStr">
        <is>
          <t>https://recrute.carrefour.fr/</t>
        </is>
      </c>
      <c r="L93" s="2" t="inlineStr">
        <is>
          <t>Favicon / company logo</t>
        </is>
      </c>
      <c r="M93" s="5" t="n">
        <v>46255</v>
      </c>
      <c r="N93" s="2" t="inlineStr">
        <is>
          <t>Location: Paris 4e – Carrefour Express. Current listing: student-only Employé Polyvalent, CDI temps partiel. French: French likely | English: Not specified | Student friendly: Yes | Embedded brand mark. Re-check the live job page before applying; vacancies can close or change.</t>
        </is>
      </c>
    </row>
    <row r="94" ht="43.2" customHeight="1">
      <c r="A94" s="2" t="n"/>
      <c r="B94" s="2" t="inlineStr">
        <is>
          <t>Carrefour</t>
        </is>
      </c>
      <c r="C94" s="2" t="inlineStr">
        <is>
          <t>Part-time / CDI</t>
        </is>
      </c>
      <c r="D94" s="2" t="inlineStr">
        <is>
          <t>Paris / Greater Paris</t>
        </is>
      </c>
      <c r="E94" s="2" t="inlineStr">
        <is>
          <t>Not specified</t>
        </is>
      </c>
      <c r="F94" s="2" t="inlineStr">
        <is>
          <t>Grocery Retail / Supermarkets</t>
        </is>
      </c>
      <c r="G94" s="2" t="inlineStr">
        <is>
          <t>Student commercial employee / cashier</t>
        </is>
      </c>
      <c r="H94" s="2" t="inlineStr">
        <is>
          <t>75006 Paris, France — exact street address not exposed in current listing</t>
        </is>
      </c>
      <c r="I94" s="2" t="inlineStr">
        <is>
          <t>🟢 Currently hiring</t>
        </is>
      </c>
      <c r="J94" s="2" t="inlineStr">
        <is>
          <t>https://fr.indeed.com/q-carrefour-%C3%89tudiant-l-cr%C3%A9teil-%2894%29-emplois.html</t>
        </is>
      </c>
      <c r="K94" s="2" t="inlineStr">
        <is>
          <t>https://recrute.carrefour.fr/</t>
        </is>
      </c>
      <c r="L94" s="2" t="inlineStr">
        <is>
          <t>Favicon / company logo</t>
        </is>
      </c>
      <c r="M94" s="5" t="n">
        <v>46255</v>
      </c>
      <c r="N94" s="2" t="inlineStr">
        <is>
          <t>Location: Paris 6e. Current listing: Employé commercial caisse, ideal student, CDI temps partiel. French: French likely | English: Not specified | Student friendly: Yes | Embedded brand mark. Re-check the live job page before applying; vacancies can close or change.</t>
        </is>
      </c>
    </row>
    <row r="95" ht="57.6" customHeight="1">
      <c r="A95" s="2" t="n"/>
      <c r="B95" s="2" t="inlineStr">
        <is>
          <t>Carrefour</t>
        </is>
      </c>
      <c r="C95" s="2" t="inlineStr">
        <is>
          <t>Part-time / CDI</t>
        </is>
      </c>
      <c r="D95" s="2" t="inlineStr">
        <is>
          <t>Paris / Greater Paris</t>
        </is>
      </c>
      <c r="E95" s="2" t="inlineStr">
        <is>
          <t>Not specified</t>
        </is>
      </c>
      <c r="F95" s="2" t="inlineStr">
        <is>
          <t>Grocery Retail / Supermarkets</t>
        </is>
      </c>
      <c r="G95" s="2" t="inlineStr">
        <is>
          <t>Student commercial employee / cashier</t>
        </is>
      </c>
      <c r="H95" s="2" t="inlineStr">
        <is>
          <t>85 Route de Provins, 94490 Ormesson-sur-Marne, France</t>
        </is>
      </c>
      <c r="I95" s="2" t="inlineStr">
        <is>
          <t>🟢 Currently hiring</t>
        </is>
      </c>
      <c r="J95" s="2" t="inlineStr">
        <is>
          <t>https://fr.indeed.com/q-%C3%89tudiant-carrefour-l-paris-%2875%29-emplois.html</t>
        </is>
      </c>
      <c r="K95" s="2" t="inlineStr">
        <is>
          <t>https://recrute.carrefour.fr/</t>
        </is>
      </c>
      <c r="L95" s="2" t="inlineStr">
        <is>
          <t>Favicon / company logo</t>
        </is>
      </c>
      <c r="M95" s="5" t="n">
        <v>46255</v>
      </c>
      <c r="N95" s="2" t="inlineStr">
        <is>
          <t>Location: Ormesson-sur-Marne. Current listing: Employé commercial caisse, ideal student, CDI temps partiel. French: French likely | English: Not specified | Student friendly: Yes | Embedded brand mark. Re-check the live job page before applying; vacancies can close or change.</t>
        </is>
      </c>
    </row>
    <row r="96" ht="43.2" customHeight="1">
      <c r="A96" s="2" t="n"/>
      <c r="B96" s="2" t="inlineStr">
        <is>
          <t>Carrefour</t>
        </is>
      </c>
      <c r="C96" s="2" t="inlineStr">
        <is>
          <t>Part-time / CDI</t>
        </is>
      </c>
      <c r="D96" s="2" t="inlineStr">
        <is>
          <t>Paris / Greater Paris</t>
        </is>
      </c>
      <c r="E96" s="2" t="inlineStr">
        <is>
          <t>Not specified</t>
        </is>
      </c>
      <c r="F96" s="2" t="inlineStr">
        <is>
          <t>Grocery Retail / Supermarkets</t>
        </is>
      </c>
      <c r="G96" s="2" t="inlineStr">
        <is>
          <t>Student commercial employee / cashier</t>
        </is>
      </c>
      <c r="H96" s="2" t="inlineStr">
        <is>
          <t>Route des Petits Ponts, 93270 Sevran, France</t>
        </is>
      </c>
      <c r="I96" s="2" t="inlineStr">
        <is>
          <t>🟢 Currently hiring</t>
        </is>
      </c>
      <c r="J96" s="2" t="inlineStr">
        <is>
          <t>https://fr.indeed.com/q-carrefour-%C3%89tudiant-l-paris-15e-%2875%29-emplois.html</t>
        </is>
      </c>
      <c r="K96" s="2" t="inlineStr">
        <is>
          <t>https://recrute.carrefour.fr/</t>
        </is>
      </c>
      <c r="L96" s="2" t="inlineStr">
        <is>
          <t>Favicon / company logo</t>
        </is>
      </c>
      <c r="M96" s="5" t="n">
        <v>46255</v>
      </c>
      <c r="N96" s="2" t="inlineStr">
        <is>
          <t>Location: Sevran. Current listing: Employé commercial caisse, ideal student, CDI temps partiel. French: French likely | English: Not specified | Student friendly: Yes | Embedded brand mark. Re-check the live job page before applying; vacancies can close or change.</t>
        </is>
      </c>
    </row>
    <row r="97" ht="28.8" customHeight="1">
      <c r="A97" s="2" t="n"/>
      <c r="B97" s="2" t="inlineStr">
        <is>
          <t>Franprix</t>
        </is>
      </c>
      <c r="C97" s="2" t="inlineStr">
        <is>
          <t>Part-time / Student</t>
        </is>
      </c>
      <c r="D97" s="2" t="inlineStr">
        <is>
          <t>Paris</t>
        </is>
      </c>
      <c r="E97" s="2" t="inlineStr">
        <is>
          <t>Not specified</t>
        </is>
      </c>
      <c r="F97" s="2" t="inlineStr">
        <is>
          <t>Grocery Retail / Supermarkets</t>
        </is>
      </c>
      <c r="G97" s="2" t="inlineStr">
        <is>
          <t>Store / cashier roles</t>
        </is>
      </c>
      <c r="H97" s="2" t="inlineStr">
        <is>
          <t>Champs-Élysées (8e): 230 Rue du Faubourg Saint-Honoré, 75008 Paris</t>
        </is>
      </c>
      <c r="I97" s="2" t="inlineStr">
        <is>
          <t>🟡 Company recruits part-time; exact current location not verified</t>
        </is>
      </c>
      <c r="J97" s="2" t="inlineStr">
        <is>
          <t>https://fr.indeed.com/Paris-%2875%29-Emplois-Monoprix%2C-Franprix%2C-Carrefour</t>
        </is>
      </c>
      <c r="K97" s="2" t="inlineStr">
        <is>
          <t>https://www.franprix.fr/</t>
        </is>
      </c>
      <c r="L97" s="2" t="inlineStr">
        <is>
          <t>Favicon / company logo</t>
        </is>
      </c>
      <c r="M97" s="5" t="n">
        <v>46255</v>
      </c>
      <c r="N97" s="2" t="inlineStr">
        <is>
          <t>French: French likely | English: Not specified | Student friendly: Yes | Embedded brand mark. Re-check the live job page before applying; vacancies can close or change.</t>
        </is>
      </c>
    </row>
    <row r="98" ht="28.8" customHeight="1">
      <c r="A98" s="2" t="n"/>
      <c r="B98" s="2" t="inlineStr">
        <is>
          <t>Franprix</t>
        </is>
      </c>
      <c r="C98" s="2" t="inlineStr">
        <is>
          <t>Part-time / Student</t>
        </is>
      </c>
      <c r="D98" s="2" t="inlineStr">
        <is>
          <t>Paris</t>
        </is>
      </c>
      <c r="E98" s="2" t="inlineStr">
        <is>
          <t>Not specified</t>
        </is>
      </c>
      <c r="F98" s="2" t="inlineStr">
        <is>
          <t>Grocery Retail / Supermarkets</t>
        </is>
      </c>
      <c r="G98" s="2" t="inlineStr">
        <is>
          <t>Store / cashier roles</t>
        </is>
      </c>
      <c r="H98" s="2" t="inlineStr">
        <is>
          <t>Marais / Center (4e): 112 Rue Saint-Antoine, 75004 Paris</t>
        </is>
      </c>
      <c r="I98" s="2" t="inlineStr">
        <is>
          <t>🟡 Company recruits part-time; exact current location not verified</t>
        </is>
      </c>
      <c r="J98" s="2" t="inlineStr">
        <is>
          <t>https://fr.indeed.com/Paris-%2875%29-Emplois-Monoprix%2C-Franprix%2C-Carrefour</t>
        </is>
      </c>
      <c r="K98" s="2" t="inlineStr">
        <is>
          <t>https://www.franprix.fr/</t>
        </is>
      </c>
      <c r="L98" s="2" t="inlineStr">
        <is>
          <t>Favicon / company logo</t>
        </is>
      </c>
      <c r="M98" s="5" t="n">
        <v>46255</v>
      </c>
      <c r="N98" s="2" t="inlineStr">
        <is>
          <t>French: French likely | English: Not specified | Student friendly: Yes | Embedded brand mark. Re-check the live job page before applying; vacancies can close or change.</t>
        </is>
      </c>
    </row>
    <row r="99" ht="28.8" customHeight="1">
      <c r="A99" s="2" t="n"/>
      <c r="B99" s="2" t="inlineStr">
        <is>
          <t>Franprix</t>
        </is>
      </c>
      <c r="C99" s="2" t="inlineStr">
        <is>
          <t>Part-time / Student</t>
        </is>
      </c>
      <c r="D99" s="2" t="inlineStr">
        <is>
          <t>Paris</t>
        </is>
      </c>
      <c r="E99" s="2" t="inlineStr">
        <is>
          <t>Not specified</t>
        </is>
      </c>
      <c r="F99" s="2" t="inlineStr">
        <is>
          <t>Grocery Retail / Supermarkets</t>
        </is>
      </c>
      <c r="G99" s="2" t="inlineStr">
        <is>
          <t>Store / cashier roles</t>
        </is>
      </c>
      <c r="H99" s="2" t="inlineStr">
        <is>
          <t>Latin Quarter (5e): 86 Boulevard Saint-Michel, 75005 Paris</t>
        </is>
      </c>
      <c r="I99" s="2" t="inlineStr">
        <is>
          <t>🟡 Company recruits part-time; exact current location not verified</t>
        </is>
      </c>
      <c r="J99" s="2" t="inlineStr">
        <is>
          <t>https://fr.indeed.com/Paris-%2875%29-Emplois-Monoprix%2C-Franprix%2C-Carrefour</t>
        </is>
      </c>
      <c r="K99" s="2" t="inlineStr">
        <is>
          <t>https://www.franprix.fr/</t>
        </is>
      </c>
      <c r="L99" s="2" t="inlineStr">
        <is>
          <t>Favicon / company logo</t>
        </is>
      </c>
      <c r="M99" s="5" t="n">
        <v>46255</v>
      </c>
      <c r="N99" s="2" t="inlineStr">
        <is>
          <t>French: French likely | English: Not specified | Student friendly: Yes | Embedded brand mark. Re-check the live job page before applying; vacancies can close or change.</t>
        </is>
      </c>
    </row>
    <row r="100" ht="28.8" customHeight="1">
      <c r="A100" s="2" t="n"/>
      <c r="B100" s="2" t="inlineStr">
        <is>
          <t>Franprix</t>
        </is>
      </c>
      <c r="C100" s="2" t="inlineStr">
        <is>
          <t>Part-time / Student</t>
        </is>
      </c>
      <c r="D100" s="2" t="inlineStr">
        <is>
          <t>Paris</t>
        </is>
      </c>
      <c r="E100" s="2" t="inlineStr">
        <is>
          <t>Not specified</t>
        </is>
      </c>
      <c r="F100" s="2" t="inlineStr">
        <is>
          <t>Grocery Retail / Supermarkets</t>
        </is>
      </c>
      <c r="G100" s="2" t="inlineStr">
        <is>
          <t>Store / cashier roles</t>
        </is>
      </c>
      <c r="H100" s="2" t="inlineStr">
        <is>
          <t>Montparnasse (14e): 24 Rue de l'Arrivée, 75014 Paris</t>
        </is>
      </c>
      <c r="I100" s="2" t="inlineStr">
        <is>
          <t>🟡 Company recruits part-time; exact current location not verified</t>
        </is>
      </c>
      <c r="J100" s="2" t="inlineStr">
        <is>
          <t>https://fr.indeed.com/Paris-%2875%29-Emplois-Monoprix%2C-Franprix%2C-Carrefour</t>
        </is>
      </c>
      <c r="K100" s="2" t="inlineStr">
        <is>
          <t>https://www.franprix.fr/</t>
        </is>
      </c>
      <c r="L100" s="2" t="inlineStr">
        <is>
          <t>Favicon / company logo</t>
        </is>
      </c>
      <c r="M100" s="5" t="n">
        <v>46255</v>
      </c>
      <c r="N100" s="2" t="inlineStr">
        <is>
          <t>French: French likely | English: Not specified | Student friendly: Yes | Embedded brand mark. Re-check the live job page before applying; vacancies can close or change.</t>
        </is>
      </c>
    </row>
    <row r="101" ht="28.8" customHeight="1">
      <c r="A101" s="2" t="n"/>
      <c r="B101" s="2" t="inlineStr">
        <is>
          <t>Lidl</t>
        </is>
      </c>
      <c r="C101" s="2" t="inlineStr">
        <is>
          <t>Part-time / Student</t>
        </is>
      </c>
      <c r="D101" s="2" t="inlineStr">
        <is>
          <t>Paris / Greater Paris</t>
        </is>
      </c>
      <c r="E101" s="2" t="inlineStr">
        <is>
          <t>Not specified</t>
        </is>
      </c>
      <c r="F101" s="2" t="inlineStr">
        <is>
          <t>Grocery Retail / Supermarkets</t>
        </is>
      </c>
      <c r="G101" s="2" t="inlineStr">
        <is>
          <t>Store / cashier roles</t>
        </is>
      </c>
      <c r="H101" s="2" t="inlineStr">
        <is>
          <t>210-212 Avenue du Maine, 75014 Paris</t>
        </is>
      </c>
      <c r="I101" s="2" t="inlineStr">
        <is>
          <t>🟡 Company recruits part-time; exact current location not verified</t>
        </is>
      </c>
      <c r="J101" s="2" t="inlineStr">
        <is>
          <t>https://jobs.lidl.fr/</t>
        </is>
      </c>
      <c r="K101" s="2" t="inlineStr">
        <is>
          <t>https://jobs.lidl.fr/</t>
        </is>
      </c>
      <c r="L101" s="2" t="inlineStr">
        <is>
          <t>Favicon / company logo</t>
        </is>
      </c>
      <c r="M101" s="5" t="n">
        <v>46255</v>
      </c>
      <c r="N101" s="2" t="inlineStr">
        <is>
          <t>French: French likely | English: Not specified | Student friendly: Yes | Embedded brand mark. Re-check the live job page before applying; vacancies can close or change.</t>
        </is>
      </c>
    </row>
    <row r="102" ht="28.8" customHeight="1">
      <c r="A102" s="2" t="n"/>
      <c r="B102" s="2" t="inlineStr">
        <is>
          <t>Lidl</t>
        </is>
      </c>
      <c r="C102" s="2" t="inlineStr">
        <is>
          <t>Part-time / Student</t>
        </is>
      </c>
      <c r="D102" s="2" t="inlineStr">
        <is>
          <t>Paris / Greater Paris</t>
        </is>
      </c>
      <c r="E102" s="2" t="inlineStr">
        <is>
          <t>Not specified</t>
        </is>
      </c>
      <c r="F102" s="2" t="inlineStr">
        <is>
          <t>Grocery Retail / Supermarkets</t>
        </is>
      </c>
      <c r="G102" s="2" t="inlineStr">
        <is>
          <t>Store / cashier roles</t>
        </is>
      </c>
      <c r="H102" s="2" t="inlineStr">
        <is>
          <t>34 Rue de Reuilly, 75012 Paris</t>
        </is>
      </c>
      <c r="I102" s="2" t="inlineStr">
        <is>
          <t>🟡 Company recruits part-time; exact current location not verified</t>
        </is>
      </c>
      <c r="J102" s="2" t="inlineStr">
        <is>
          <t>https://jobs.lidl.fr/</t>
        </is>
      </c>
      <c r="K102" s="2" t="inlineStr">
        <is>
          <t>https://jobs.lidl.fr/</t>
        </is>
      </c>
      <c r="L102" s="2" t="inlineStr">
        <is>
          <t>Favicon / company logo</t>
        </is>
      </c>
      <c r="M102" s="5" t="n">
        <v>46255</v>
      </c>
      <c r="N102" s="2" t="inlineStr">
        <is>
          <t>French: French likely | English: Not specified | Student friendly: Yes | Embedded brand mark. Re-check the live job page before applying; vacancies can close or change.</t>
        </is>
      </c>
    </row>
    <row r="103" ht="28.8" customHeight="1">
      <c r="A103" s="2" t="n"/>
      <c r="B103" s="2" t="inlineStr">
        <is>
          <t>Action</t>
        </is>
      </c>
      <c r="C103" s="2" t="inlineStr">
        <is>
          <t>Part-time / Student</t>
        </is>
      </c>
      <c r="D103" s="2" t="inlineStr">
        <is>
          <t>Paris / Greater Paris</t>
        </is>
      </c>
      <c r="E103" s="2" t="inlineStr">
        <is>
          <t>Not specified</t>
        </is>
      </c>
      <c r="F103" s="2" t="inlineStr">
        <is>
          <t>Discount Retail / Variety Store</t>
        </is>
      </c>
      <c r="G103" s="2" t="inlineStr">
        <is>
          <t>Store employee</t>
        </is>
      </c>
      <c r="H103" s="2" t="inlineStr">
        <is>
          <t>Bagnolet (93) — 45 openings</t>
        </is>
      </c>
      <c r="I103" s="2" t="inlineStr">
        <is>
          <t>🟡 Company recruits part-time; exact current location not verified</t>
        </is>
      </c>
      <c r="J103" s="2" t="inlineStr">
        <is>
          <t>https://www.action.jobs/fr-fr/</t>
        </is>
      </c>
      <c r="K103" s="2" t="inlineStr">
        <is>
          <t>https://www.action.jobs/fr-fr/</t>
        </is>
      </c>
      <c r="L103" s="2" t="inlineStr">
        <is>
          <t>Favicon / company logo</t>
        </is>
      </c>
      <c r="M103" s="5" t="n">
        <v>46255</v>
      </c>
      <c r="N103" s="2" t="inlineStr">
        <is>
          <t>French: French likely | English: Not specified | Student friendly: Yes | Embedded brand mark. Re-check the live job page before applying; vacancies can close or change.</t>
        </is>
      </c>
    </row>
    <row r="104" ht="28.8" customHeight="1">
      <c r="A104" s="2" t="n"/>
      <c r="B104" s="2" t="inlineStr">
        <is>
          <t>Action</t>
        </is>
      </c>
      <c r="C104" s="2" t="inlineStr">
        <is>
          <t>Part-time / Student</t>
        </is>
      </c>
      <c r="D104" s="2" t="inlineStr">
        <is>
          <t>Paris / Greater Paris</t>
        </is>
      </c>
      <c r="E104" s="2" t="inlineStr">
        <is>
          <t>Not specified</t>
        </is>
      </c>
      <c r="F104" s="2" t="inlineStr">
        <is>
          <t>Discount Retail / Variety Store</t>
        </is>
      </c>
      <c r="G104" s="2" t="inlineStr">
        <is>
          <t>Store employee</t>
        </is>
      </c>
      <c r="H104" s="2" t="inlineStr">
        <is>
          <t>Épinay-sur-Seine (93)</t>
        </is>
      </c>
      <c r="I104" s="2" t="inlineStr">
        <is>
          <t>🟡 Company recruits part-time; exact current location not verified</t>
        </is>
      </c>
      <c r="J104" s="2" t="inlineStr">
        <is>
          <t>https://www.action.jobs/fr-fr/</t>
        </is>
      </c>
      <c r="K104" s="2" t="inlineStr">
        <is>
          <t>https://www.action.jobs/fr-fr/</t>
        </is>
      </c>
      <c r="L104" s="2" t="inlineStr">
        <is>
          <t>Favicon / company logo</t>
        </is>
      </c>
      <c r="M104" s="5" t="n">
        <v>46255</v>
      </c>
      <c r="N104" s="2" t="inlineStr">
        <is>
          <t>French: French likely | English: Not specified | Student friendly: Yes | Embedded brand mark. Re-check the live job page before applying; vacancies can close or change.</t>
        </is>
      </c>
    </row>
    <row r="105" ht="28.8" customHeight="1">
      <c r="A105" s="2" t="n"/>
      <c r="B105" s="2" t="inlineStr">
        <is>
          <t>Action</t>
        </is>
      </c>
      <c r="C105" s="2" t="inlineStr">
        <is>
          <t>Part-time / Student</t>
        </is>
      </c>
      <c r="D105" s="2" t="inlineStr">
        <is>
          <t>Paris / Greater Paris</t>
        </is>
      </c>
      <c r="E105" s="2" t="inlineStr">
        <is>
          <t>Not specified</t>
        </is>
      </c>
      <c r="F105" s="2" t="inlineStr">
        <is>
          <t>Discount Retail / Variety Store</t>
        </is>
      </c>
      <c r="G105" s="2" t="inlineStr">
        <is>
          <t>Store employee</t>
        </is>
      </c>
      <c r="H105" s="2" t="inlineStr">
        <is>
          <t>Asnières-sur-Seine (92)</t>
        </is>
      </c>
      <c r="I105" s="2" t="inlineStr">
        <is>
          <t>🟡 Company recruits part-time; exact current location not verified</t>
        </is>
      </c>
      <c r="J105" s="2" t="inlineStr">
        <is>
          <t>https://www.action.jobs/fr-fr/</t>
        </is>
      </c>
      <c r="K105" s="2" t="inlineStr">
        <is>
          <t>https://www.action.jobs/fr-fr/</t>
        </is>
      </c>
      <c r="L105" s="2" t="inlineStr">
        <is>
          <t>Favicon / company logo</t>
        </is>
      </c>
      <c r="M105" s="5" t="n">
        <v>46255</v>
      </c>
      <c r="N105" s="2" t="inlineStr">
        <is>
          <t>French: French likely | English: Not specified | Student friendly: Yes | Embedded brand mark. Re-check the live job page before applying; vacancies can close or change.</t>
        </is>
      </c>
    </row>
    <row r="106" ht="28.8" customHeight="1">
      <c r="A106" s="2" t="n"/>
      <c r="B106" s="2" t="inlineStr">
        <is>
          <t>Action</t>
        </is>
      </c>
      <c r="C106" s="2" t="inlineStr">
        <is>
          <t>Part-time / Student</t>
        </is>
      </c>
      <c r="D106" s="2" t="inlineStr">
        <is>
          <t>Paris / Greater Paris</t>
        </is>
      </c>
      <c r="E106" s="2" t="inlineStr">
        <is>
          <t>Not specified</t>
        </is>
      </c>
      <c r="F106" s="2" t="inlineStr">
        <is>
          <t>Discount Retail / Variety Store</t>
        </is>
      </c>
      <c r="G106" s="2" t="inlineStr">
        <is>
          <t>Store employee</t>
        </is>
      </c>
      <c r="H106" s="2" t="inlineStr">
        <is>
          <t>Houilles (78)</t>
        </is>
      </c>
      <c r="I106" s="2" t="inlineStr">
        <is>
          <t>🟡 Company recruits part-time; exact current location not verified</t>
        </is>
      </c>
      <c r="J106" s="2" t="inlineStr">
        <is>
          <t>https://www.action.jobs/fr-fr/</t>
        </is>
      </c>
      <c r="K106" s="2" t="inlineStr">
        <is>
          <t>https://www.action.jobs/fr-fr/</t>
        </is>
      </c>
      <c r="L106" s="2" t="inlineStr">
        <is>
          <t>Favicon / company logo</t>
        </is>
      </c>
      <c r="M106" s="5" t="n">
        <v>46255</v>
      </c>
      <c r="N106" s="2" t="inlineStr">
        <is>
          <t>French: French likely | English: Not specified | Student friendly: Yes | Embedded brand mark. Re-check the live job page before applying; vacancies can close or change.</t>
        </is>
      </c>
    </row>
    <row r="107" ht="43.2" customHeight="1">
      <c r="A107" s="2" t="n"/>
      <c r="B107" s="2" t="inlineStr">
        <is>
          <t>Starbucks</t>
        </is>
      </c>
      <c r="C107" s="2" t="inlineStr">
        <is>
          <t>Part-time / Student</t>
        </is>
      </c>
      <c r="D107" s="2" t="inlineStr">
        <is>
          <t>Paris / Greater Paris</t>
        </is>
      </c>
      <c r="E107" s="2" t="inlineStr">
        <is>
          <t>Not specified</t>
        </is>
      </c>
      <c r="F107" s="2" t="inlineStr">
        <is>
          <t>Food Service / Coffee &amp; Bakery</t>
        </is>
      </c>
      <c r="G107" s="2" t="inlineStr">
        <is>
          <t>Barista / store team</t>
        </is>
      </c>
      <c r="H107" s="2" t="inlineStr">
        <is>
          <t>Paris 2nd (Capucines): Bd des Capucines, Paris</t>
        </is>
      </c>
      <c r="I107" s="2" t="inlineStr">
        <is>
          <t>🟡 Company recruits part-time; exact current location not verified</t>
        </is>
      </c>
      <c r="J107" s="2" t="inlineStr">
        <is>
          <t>https://www.starbucks.fr/recrutement</t>
        </is>
      </c>
      <c r="K107" s="2" t="inlineStr">
        <is>
          <t>https://www.starbucks.fr/recrutement</t>
        </is>
      </c>
      <c r="L107" s="2" t="inlineStr">
        <is>
          <t>Favicon / company logo</t>
        </is>
      </c>
      <c r="M107" s="5" t="n">
        <v>46255</v>
      </c>
      <c r="N107" s="2" t="inlineStr">
        <is>
          <t>French: French likely; English useful | English: Required / useful / role-dependent | Student friendly: Yes | Embedded brand mark. Re-check the live job page before applying; vacancies can close or change.</t>
        </is>
      </c>
    </row>
    <row r="108" ht="43.2" customHeight="1">
      <c r="A108" s="2" t="n"/>
      <c r="B108" s="2" t="inlineStr">
        <is>
          <t>Starbucks</t>
        </is>
      </c>
      <c r="C108" s="2" t="inlineStr">
        <is>
          <t>Part-time / Student</t>
        </is>
      </c>
      <c r="D108" s="2" t="inlineStr">
        <is>
          <t>Paris / Greater Paris</t>
        </is>
      </c>
      <c r="E108" s="2" t="inlineStr">
        <is>
          <t>Not specified</t>
        </is>
      </c>
      <c r="F108" s="2" t="inlineStr">
        <is>
          <t>Food Service / Coffee &amp; Bakery</t>
        </is>
      </c>
      <c r="G108" s="2" t="inlineStr">
        <is>
          <t>Barista / store team</t>
        </is>
      </c>
      <c r="H108" s="2" t="inlineStr">
        <is>
          <t>Paris 1st (Opera): Avenue de l'Opéra, Paris</t>
        </is>
      </c>
      <c r="I108" s="2" t="inlineStr">
        <is>
          <t>🟡 Company recruits part-time; exact current location not verified</t>
        </is>
      </c>
      <c r="J108" s="2" t="inlineStr">
        <is>
          <t>https://www.starbucks.fr/recrutement</t>
        </is>
      </c>
      <c r="K108" s="2" t="inlineStr">
        <is>
          <t>https://www.starbucks.fr/recrutement</t>
        </is>
      </c>
      <c r="L108" s="2" t="inlineStr">
        <is>
          <t>Favicon / company logo</t>
        </is>
      </c>
      <c r="M108" s="5" t="n">
        <v>46255</v>
      </c>
      <c r="N108" s="2" t="inlineStr">
        <is>
          <t>French: French likely; English useful | English: Required / useful / role-dependent | Student friendly: Yes | Embedded brand mark. Re-check the live job page before applying; vacancies can close or change.</t>
        </is>
      </c>
    </row>
    <row r="109" ht="43.2" customHeight="1">
      <c r="A109" s="2" t="n"/>
      <c r="B109" s="2" t="inlineStr">
        <is>
          <t>Starbucks</t>
        </is>
      </c>
      <c r="C109" s="2" t="inlineStr">
        <is>
          <t>Part-time / Student</t>
        </is>
      </c>
      <c r="D109" s="2" t="inlineStr">
        <is>
          <t>Paris / Greater Paris</t>
        </is>
      </c>
      <c r="E109" s="2" t="inlineStr">
        <is>
          <t>Not specified</t>
        </is>
      </c>
      <c r="F109" s="2" t="inlineStr">
        <is>
          <t>Food Service / Coffee &amp; Bakery</t>
        </is>
      </c>
      <c r="G109" s="2" t="inlineStr">
        <is>
          <t>Barista / store team</t>
        </is>
      </c>
      <c r="H109" s="2" t="inlineStr">
        <is>
          <t>Paris 1st (Ladder): Rue de l'Échelle, Paris</t>
        </is>
      </c>
      <c r="I109" s="2" t="inlineStr">
        <is>
          <t>🟡 Company recruits part-time; exact current location not verified</t>
        </is>
      </c>
      <c r="J109" s="2" t="inlineStr">
        <is>
          <t>https://www.starbucks.fr/recrutement</t>
        </is>
      </c>
      <c r="K109" s="2" t="inlineStr">
        <is>
          <t>https://www.starbucks.fr/recrutement</t>
        </is>
      </c>
      <c r="L109" s="2" t="inlineStr">
        <is>
          <t>Favicon / company logo</t>
        </is>
      </c>
      <c r="M109" s="5" t="n">
        <v>46255</v>
      </c>
      <c r="N109" s="2" t="inlineStr">
        <is>
          <t>French: French likely; English useful | English: Required / useful / role-dependent | Student friendly: Yes | Embedded brand mark. Re-check the live job page before applying; vacancies can close or change.</t>
        </is>
      </c>
    </row>
    <row r="110" ht="43.2" customHeight="1">
      <c r="A110" s="2" t="n"/>
      <c r="B110" s="2" t="inlineStr">
        <is>
          <t>Starbucks</t>
        </is>
      </c>
      <c r="C110" s="2" t="inlineStr">
        <is>
          <t>Part-time / Student</t>
        </is>
      </c>
      <c r="D110" s="2" t="inlineStr">
        <is>
          <t>Paris / Greater Paris</t>
        </is>
      </c>
      <c r="E110" s="2" t="inlineStr">
        <is>
          <t>Not specified</t>
        </is>
      </c>
      <c r="F110" s="2" t="inlineStr">
        <is>
          <t>Food Service / Coffee &amp; Bakery</t>
        </is>
      </c>
      <c r="G110" s="2" t="inlineStr">
        <is>
          <t>Barista / store team</t>
        </is>
      </c>
      <c r="H110" s="2" t="inlineStr">
        <is>
          <t>Paris 15th (Gare Montparnasse): 17 Bd de Vaugirard, 75015 Paris</t>
        </is>
      </c>
      <c r="I110" s="2" t="inlineStr">
        <is>
          <t>🟡 Company recruits part-time; exact current location not verified</t>
        </is>
      </c>
      <c r="J110" s="2" t="inlineStr">
        <is>
          <t>https://www.starbucks.fr/recrutement</t>
        </is>
      </c>
      <c r="K110" s="2" t="inlineStr">
        <is>
          <t>https://www.starbucks.fr/recrutement</t>
        </is>
      </c>
      <c r="L110" s="2" t="inlineStr">
        <is>
          <t>Favicon / company logo</t>
        </is>
      </c>
      <c r="M110" s="5" t="n">
        <v>46255</v>
      </c>
      <c r="N110" s="2" t="inlineStr">
        <is>
          <t>French: French likely; English useful | English: Required / useful / role-dependent | Student friendly: Yes | Embedded brand mark. Re-check the live job page before applying; vacancies can close or change.</t>
        </is>
      </c>
    </row>
    <row r="111" ht="43.2" customHeight="1">
      <c r="A111" s="2" t="n"/>
      <c r="B111" s="2" t="inlineStr">
        <is>
          <t>Starbucks</t>
        </is>
      </c>
      <c r="C111" s="2" t="inlineStr">
        <is>
          <t>Part-time / Student</t>
        </is>
      </c>
      <c r="D111" s="2" t="inlineStr">
        <is>
          <t>Paris / Greater Paris</t>
        </is>
      </c>
      <c r="E111" s="2" t="inlineStr">
        <is>
          <t>Not specified</t>
        </is>
      </c>
      <c r="F111" s="2" t="inlineStr">
        <is>
          <t>Food Service / Coffee &amp; Bakery</t>
        </is>
      </c>
      <c r="G111" s="2" t="inlineStr">
        <is>
          <t>Barista / store team</t>
        </is>
      </c>
      <c r="H111" s="2" t="inlineStr">
        <is>
          <t>Paris 12th arrondissement (Bercy): Rue de Bercy, Paris</t>
        </is>
      </c>
      <c r="I111" s="2" t="inlineStr">
        <is>
          <t>🟡 Company recruits part-time; exact current location not verified</t>
        </is>
      </c>
      <c r="J111" s="2" t="inlineStr">
        <is>
          <t>https://www.starbucks.fr/recrutement</t>
        </is>
      </c>
      <c r="K111" s="2" t="inlineStr">
        <is>
          <t>https://www.starbucks.fr/recrutement</t>
        </is>
      </c>
      <c r="L111" s="2" t="inlineStr">
        <is>
          <t>Favicon / company logo</t>
        </is>
      </c>
      <c r="M111" s="5" t="n">
        <v>46255</v>
      </c>
      <c r="N111" s="2" t="inlineStr">
        <is>
          <t>French: French likely; English useful | English: Required / useful / role-dependent | Student friendly: Yes | Embedded brand mark. Re-check the live job page before applying; vacancies can close or change.</t>
        </is>
      </c>
    </row>
    <row r="112" ht="43.2" customHeight="1">
      <c r="A112" s="2" t="n"/>
      <c r="B112" s="2" t="inlineStr">
        <is>
          <t>Starbucks</t>
        </is>
      </c>
      <c r="C112" s="2" t="inlineStr">
        <is>
          <t>Part-time / Student</t>
        </is>
      </c>
      <c r="D112" s="2" t="inlineStr">
        <is>
          <t>Paris / Greater Paris</t>
        </is>
      </c>
      <c r="E112" s="2" t="inlineStr">
        <is>
          <t>Not specified</t>
        </is>
      </c>
      <c r="F112" s="2" t="inlineStr">
        <is>
          <t>Food Service / Coffee &amp; Bakery</t>
        </is>
      </c>
      <c r="G112" s="2" t="inlineStr">
        <is>
          <t>Barista / store team</t>
        </is>
      </c>
      <c r="H112" s="2" t="inlineStr">
        <is>
          <t>Paris 10th (Gare de l'Est): 4 Rue du 8 Mai 1945, 75010 Paris</t>
        </is>
      </c>
      <c r="I112" s="2" t="inlineStr">
        <is>
          <t>🟡 Company recruits part-time; exact current location not verified</t>
        </is>
      </c>
      <c r="J112" s="2" t="inlineStr">
        <is>
          <t>https://www.starbucks.fr/recrutement</t>
        </is>
      </c>
      <c r="K112" s="2" t="inlineStr">
        <is>
          <t>https://www.starbucks.fr/recrutement</t>
        </is>
      </c>
      <c r="L112" s="2" t="inlineStr">
        <is>
          <t>Favicon / company logo</t>
        </is>
      </c>
      <c r="M112" s="5" t="n">
        <v>46255</v>
      </c>
      <c r="N112" s="2" t="inlineStr">
        <is>
          <t>French: French likely; English useful | English: Required / useful / role-dependent | Student friendly: Yes | Embedded brand mark. Re-check the live job page before applying; vacancies can close or change.</t>
        </is>
      </c>
    </row>
    <row r="113" ht="43.2" customHeight="1">
      <c r="A113" s="2" t="n"/>
      <c r="B113" s="2" t="inlineStr">
        <is>
          <t>Starbucks</t>
        </is>
      </c>
      <c r="C113" s="2" t="inlineStr">
        <is>
          <t>Part-time / Student</t>
        </is>
      </c>
      <c r="D113" s="2" t="inlineStr">
        <is>
          <t>Paris / Greater Paris</t>
        </is>
      </c>
      <c r="E113" s="2" t="inlineStr">
        <is>
          <t>Not specified</t>
        </is>
      </c>
      <c r="F113" s="2" t="inlineStr">
        <is>
          <t>Food Service / Coffee &amp; Bakery</t>
        </is>
      </c>
      <c r="G113" s="2" t="inlineStr">
        <is>
          <t>Barista / store team</t>
        </is>
      </c>
      <c r="H113" s="2" t="inlineStr">
        <is>
          <t>Paris 10th (Gare du Nord): 18 Rue de Dunkerque, 75010 Paris</t>
        </is>
      </c>
      <c r="I113" s="2" t="inlineStr">
        <is>
          <t>🟡 Company recruits part-time; exact current location not verified</t>
        </is>
      </c>
      <c r="J113" s="2" t="inlineStr">
        <is>
          <t>https://www.starbucks.fr/recrutement</t>
        </is>
      </c>
      <c r="K113" s="2" t="inlineStr">
        <is>
          <t>https://www.starbucks.fr/recrutement</t>
        </is>
      </c>
      <c r="L113" s="2" t="inlineStr">
        <is>
          <t>Favicon / company logo</t>
        </is>
      </c>
      <c r="M113" s="5" t="n">
        <v>46255</v>
      </c>
      <c r="N113" s="2" t="inlineStr">
        <is>
          <t>French: French likely; English useful | English: Required / useful / role-dependent | Student friendly: Yes | Embedded brand mark. Re-check the live job page before applying; vacancies can close or change.</t>
        </is>
      </c>
    </row>
    <row r="114" ht="43.2" customHeight="1">
      <c r="A114" s="2" t="n"/>
      <c r="B114" s="2" t="inlineStr">
        <is>
          <t>Starbucks</t>
        </is>
      </c>
      <c r="C114" s="2" t="inlineStr">
        <is>
          <t>Part-time / Student</t>
        </is>
      </c>
      <c r="D114" s="2" t="inlineStr">
        <is>
          <t>Paris / Greater Paris</t>
        </is>
      </c>
      <c r="E114" s="2" t="inlineStr">
        <is>
          <t>Not specified</t>
        </is>
      </c>
      <c r="F114" s="2" t="inlineStr">
        <is>
          <t>Food Service / Coffee &amp; Bakery</t>
        </is>
      </c>
      <c r="G114" s="2" t="inlineStr">
        <is>
          <t>Barista / store team</t>
        </is>
      </c>
      <c r="H114" s="2" t="inlineStr">
        <is>
          <t>Paris 8th (Saint-Lazare): 1 Cr de Rome, 75008 Paris</t>
        </is>
      </c>
      <c r="I114" s="2" t="inlineStr">
        <is>
          <t>🟡 Company recruits part-time; exact current location not verified</t>
        </is>
      </c>
      <c r="J114" s="2" t="inlineStr">
        <is>
          <t>https://www.starbucks.fr/recrutement</t>
        </is>
      </c>
      <c r="K114" s="2" t="inlineStr">
        <is>
          <t>https://www.starbucks.fr/recrutement</t>
        </is>
      </c>
      <c r="L114" s="2" t="inlineStr">
        <is>
          <t>Favicon / company logo</t>
        </is>
      </c>
      <c r="M114" s="5" t="n">
        <v>46255</v>
      </c>
      <c r="N114" s="2" t="inlineStr">
        <is>
          <t>French: French likely; English useful | English: Required / useful / role-dependent | Student friendly: Yes | Embedded brand mark. Re-check the live job page before applying; vacancies can close or change.</t>
        </is>
      </c>
    </row>
    <row r="115" ht="43.2" customHeight="1">
      <c r="A115" s="2" t="n"/>
      <c r="B115" s="2" t="inlineStr">
        <is>
          <t>Starbucks</t>
        </is>
      </c>
      <c r="C115" s="2" t="inlineStr">
        <is>
          <t>Part-time / Student</t>
        </is>
      </c>
      <c r="D115" s="2" t="inlineStr">
        <is>
          <t>Paris / Greater Paris</t>
        </is>
      </c>
      <c r="E115" s="2" t="inlineStr">
        <is>
          <t>Not specified</t>
        </is>
      </c>
      <c r="F115" s="2" t="inlineStr">
        <is>
          <t>Food Service / Coffee &amp; Bakery</t>
        </is>
      </c>
      <c r="G115" s="2" t="inlineStr">
        <is>
          <t>Barista / store team</t>
        </is>
      </c>
      <c r="H115" s="2" t="inlineStr">
        <is>
          <t>Paris 14th (Montparnasse): 70 Bd du Montparnasse, 75014 Paris</t>
        </is>
      </c>
      <c r="I115" s="2" t="inlineStr">
        <is>
          <t>🟡 Company recruits part-time; exact current location not verified</t>
        </is>
      </c>
      <c r="J115" s="2" t="inlineStr">
        <is>
          <t>https://www.starbucks.fr/recrutement</t>
        </is>
      </c>
      <c r="K115" s="2" t="inlineStr">
        <is>
          <t>https://www.starbucks.fr/recrutement</t>
        </is>
      </c>
      <c r="L115" s="2" t="inlineStr">
        <is>
          <t>Favicon / company logo</t>
        </is>
      </c>
      <c r="M115" s="5" t="n">
        <v>46255</v>
      </c>
      <c r="N115" s="2" t="inlineStr">
        <is>
          <t>French: French likely; English useful | English: Required / useful / role-dependent | Student friendly: Yes | Embedded brand mark. Re-check the live job page before applying; vacancies can close or change.</t>
        </is>
      </c>
    </row>
    <row r="116" ht="43.2" customHeight="1">
      <c r="A116" s="2" t="n"/>
      <c r="B116" s="2" t="inlineStr">
        <is>
          <t>Starbucks</t>
        </is>
      </c>
      <c r="C116" s="2" t="inlineStr">
        <is>
          <t>Part-time / Student</t>
        </is>
      </c>
      <c r="D116" s="2" t="inlineStr">
        <is>
          <t>Paris / Greater Paris</t>
        </is>
      </c>
      <c r="E116" s="2" t="inlineStr">
        <is>
          <t>Not specified</t>
        </is>
      </c>
      <c r="F116" s="2" t="inlineStr">
        <is>
          <t>Food Service / Coffee &amp; Bakery</t>
        </is>
      </c>
      <c r="G116" s="2" t="inlineStr">
        <is>
          <t>Barista / store team</t>
        </is>
      </c>
      <c r="H116" s="2" t="inlineStr">
        <is>
          <t>Paris 1er (Sébastopol): 11 Bd de Sébastopol, 75001 Paris</t>
        </is>
      </c>
      <c r="I116" s="2" t="inlineStr">
        <is>
          <t>🟡 Company recruits part-time; exact current location not verified</t>
        </is>
      </c>
      <c r="J116" s="2" t="inlineStr">
        <is>
          <t>https://www.starbucks.fr/recrutement</t>
        </is>
      </c>
      <c r="K116" s="2" t="inlineStr">
        <is>
          <t>https://www.starbucks.fr/recrutement</t>
        </is>
      </c>
      <c r="L116" s="2" t="inlineStr">
        <is>
          <t>Favicon / company logo</t>
        </is>
      </c>
      <c r="M116" s="5" t="n">
        <v>46255</v>
      </c>
      <c r="N116" s="2" t="inlineStr">
        <is>
          <t>French: French likely; English useful | English: Required / useful / role-dependent | Student friendly: Yes | Embedded brand mark. Re-check the live job page before applying; vacancies can close or change.</t>
        </is>
      </c>
    </row>
    <row r="117" ht="43.2" customHeight="1">
      <c r="A117" s="2" t="n"/>
      <c r="B117" s="2" t="inlineStr">
        <is>
          <t>Starbucks</t>
        </is>
      </c>
      <c r="C117" s="2" t="inlineStr">
        <is>
          <t>Part-time / Student</t>
        </is>
      </c>
      <c r="D117" s="2" t="inlineStr">
        <is>
          <t>Paris / Greater Paris</t>
        </is>
      </c>
      <c r="E117" s="2" t="inlineStr">
        <is>
          <t>Not specified</t>
        </is>
      </c>
      <c r="F117" s="2" t="inlineStr">
        <is>
          <t>Food Service / Coffee &amp; Bakery</t>
        </is>
      </c>
      <c r="G117" s="2" t="inlineStr">
        <is>
          <t>Barista / store team</t>
        </is>
      </c>
      <c r="H117" s="2" t="inlineStr">
        <is>
          <t>Paris 9th (Haussmann): 32 Bd Haussmann, 75009 Paris</t>
        </is>
      </c>
      <c r="I117" s="2" t="inlineStr">
        <is>
          <t>🟡 Company recruits part-time; exact current location not verified</t>
        </is>
      </c>
      <c r="J117" s="2" t="inlineStr">
        <is>
          <t>https://www.starbucks.fr/recrutement</t>
        </is>
      </c>
      <c r="K117" s="2" t="inlineStr">
        <is>
          <t>https://www.starbucks.fr/recrutement</t>
        </is>
      </c>
      <c r="L117" s="2" t="inlineStr">
        <is>
          <t>Favicon / company logo</t>
        </is>
      </c>
      <c r="M117" s="5" t="n">
        <v>46255</v>
      </c>
      <c r="N117" s="2" t="inlineStr">
        <is>
          <t>French: French likely; English useful | English: Required / useful / role-dependent | Student friendly: Yes | Embedded brand mark. Re-check the live job page before applying; vacancies can close or change.</t>
        </is>
      </c>
    </row>
    <row r="118" ht="43.2" customHeight="1">
      <c r="A118" s="2" t="n"/>
      <c r="B118" s="2" t="inlineStr">
        <is>
          <t>Starbucks</t>
        </is>
      </c>
      <c r="C118" s="2" t="inlineStr">
        <is>
          <t>Part-time / Student</t>
        </is>
      </c>
      <c r="D118" s="2" t="inlineStr">
        <is>
          <t>Paris / Greater Paris</t>
        </is>
      </c>
      <c r="E118" s="2" t="inlineStr">
        <is>
          <t>Not specified</t>
        </is>
      </c>
      <c r="F118" s="2" t="inlineStr">
        <is>
          <t>Food Service / Coffee &amp; Bakery</t>
        </is>
      </c>
      <c r="G118" s="2" t="inlineStr">
        <is>
          <t>Barista / store team</t>
        </is>
      </c>
      <c r="H118" s="2" t="inlineStr">
        <is>
          <t>Paris 1st (Forum des Halles): Multiple active points including level -3 and 1 Passage de La Canopée</t>
        </is>
      </c>
      <c r="I118" s="2" t="inlineStr">
        <is>
          <t>🟡 Company recruits part-time; exact current location not verified</t>
        </is>
      </c>
      <c r="J118" s="2" t="inlineStr">
        <is>
          <t>https://www.starbucks.fr/recrutement</t>
        </is>
      </c>
      <c r="K118" s="2" t="inlineStr">
        <is>
          <t>https://www.starbucks.fr/recrutement</t>
        </is>
      </c>
      <c r="L118" s="2" t="inlineStr">
        <is>
          <t>Favicon / company logo</t>
        </is>
      </c>
      <c r="M118" s="5" t="n">
        <v>46255</v>
      </c>
      <c r="N118" s="2" t="inlineStr">
        <is>
          <t>French: French likely; English useful | English: Required / useful / role-dependent | Student friendly: Yes | Embedded brand mark. Re-check the live job page before applying; vacancies can close or change.</t>
        </is>
      </c>
    </row>
    <row r="119" ht="43.2" customHeight="1">
      <c r="A119" s="2" t="n"/>
      <c r="B119" s="2" t="inlineStr">
        <is>
          <t>Starbucks</t>
        </is>
      </c>
      <c r="C119" s="2" t="inlineStr">
        <is>
          <t>Part-time / Student</t>
        </is>
      </c>
      <c r="D119" s="2" t="inlineStr">
        <is>
          <t>Paris / Greater Paris</t>
        </is>
      </c>
      <c r="E119" s="2" t="inlineStr">
        <is>
          <t>Not specified</t>
        </is>
      </c>
      <c r="F119" s="2" t="inlineStr">
        <is>
          <t>Food Service / Coffee &amp; Bakery</t>
        </is>
      </c>
      <c r="G119" s="2" t="inlineStr">
        <is>
          <t>Barista / store team</t>
        </is>
      </c>
      <c r="H119" s="2" t="inlineStr">
        <is>
          <t>Paris 9th (La Fayette): 67 Rue La Fayette, 75009 Paris</t>
        </is>
      </c>
      <c r="I119" s="2" t="inlineStr">
        <is>
          <t>🟡 Company recruits part-time; exact current location not verified</t>
        </is>
      </c>
      <c r="J119" s="2" t="inlineStr">
        <is>
          <t>https://www.starbucks.fr/recrutement</t>
        </is>
      </c>
      <c r="K119" s="2" t="inlineStr">
        <is>
          <t>https://www.starbucks.fr/recrutement</t>
        </is>
      </c>
      <c r="L119" s="2" t="inlineStr">
        <is>
          <t>Favicon / company logo</t>
        </is>
      </c>
      <c r="M119" s="5" t="n">
        <v>46255</v>
      </c>
      <c r="N119" s="2" t="inlineStr">
        <is>
          <t>French: French likely; English useful | English: Required / useful / role-dependent | Student friendly: Yes | Embedded brand mark. Re-check the live job page before applying; vacancies can close or change.</t>
        </is>
      </c>
    </row>
    <row r="120" ht="43.2" customHeight="1">
      <c r="A120" s="2" t="n"/>
      <c r="B120" s="2" t="inlineStr">
        <is>
          <t>Starbucks</t>
        </is>
      </c>
      <c r="C120" s="2" t="inlineStr">
        <is>
          <t>Part-time / Student</t>
        </is>
      </c>
      <c r="D120" s="2" t="inlineStr">
        <is>
          <t>Paris / Greater Paris</t>
        </is>
      </c>
      <c r="E120" s="2" t="inlineStr">
        <is>
          <t>Not specified</t>
        </is>
      </c>
      <c r="F120" s="2" t="inlineStr">
        <is>
          <t>Food Service / Coffee &amp; Bakery</t>
        </is>
      </c>
      <c r="G120" s="2" t="inlineStr">
        <is>
          <t>Barista / store team</t>
        </is>
      </c>
      <c r="H120" s="2" t="inlineStr">
        <is>
          <t>Paris 1er (Carrousel du Louvre): 75001 Paris</t>
        </is>
      </c>
      <c r="I120" s="2" t="inlineStr">
        <is>
          <t>🟡 Company recruits part-time; exact current location not verified</t>
        </is>
      </c>
      <c r="J120" s="2" t="inlineStr">
        <is>
          <t>https://www.starbucks.fr/recrutement</t>
        </is>
      </c>
      <c r="K120" s="2" t="inlineStr">
        <is>
          <t>https://www.starbucks.fr/recrutement</t>
        </is>
      </c>
      <c r="L120" s="2" t="inlineStr">
        <is>
          <t>Favicon / company logo</t>
        </is>
      </c>
      <c r="M120" s="5" t="n">
        <v>46255</v>
      </c>
      <c r="N120" s="2" t="inlineStr">
        <is>
          <t>French: French likely; English useful | English: Required / useful / role-dependent | Student friendly: Yes | Embedded brand mark. Re-check the live job page before applying; vacancies can close or change.</t>
        </is>
      </c>
    </row>
    <row r="121" ht="43.2" customHeight="1">
      <c r="A121" s="2" t="n"/>
      <c r="B121" s="2" t="inlineStr">
        <is>
          <t>Starbucks</t>
        </is>
      </c>
      <c r="C121" s="2" t="inlineStr">
        <is>
          <t>Part-time / Student</t>
        </is>
      </c>
      <c r="D121" s="2" t="inlineStr">
        <is>
          <t>Paris / Greater Paris</t>
        </is>
      </c>
      <c r="E121" s="2" t="inlineStr">
        <is>
          <t>Not specified</t>
        </is>
      </c>
      <c r="F121" s="2" t="inlineStr">
        <is>
          <t>Food Service / Coffee &amp; Bakery</t>
        </is>
      </c>
      <c r="G121" s="2" t="inlineStr">
        <is>
          <t>Barista / store team</t>
        </is>
      </c>
      <c r="H121" s="2" t="inlineStr">
        <is>
          <t>Paris 9th (Havre): 10 Rue du Havre, 75009 Paris</t>
        </is>
      </c>
      <c r="I121" s="2" t="inlineStr">
        <is>
          <t>🟡 Company recruits part-time; exact current location not verified</t>
        </is>
      </c>
      <c r="J121" s="2" t="inlineStr">
        <is>
          <t>https://www.starbucks.fr/recrutement</t>
        </is>
      </c>
      <c r="K121" s="2" t="inlineStr">
        <is>
          <t>https://www.starbucks.fr/recrutement</t>
        </is>
      </c>
      <c r="L121" s="2" t="inlineStr">
        <is>
          <t>Favicon / company logo</t>
        </is>
      </c>
      <c r="M121" s="5" t="n">
        <v>46255</v>
      </c>
      <c r="N121" s="2" t="inlineStr">
        <is>
          <t>French: French likely; English useful | English: Required / useful / role-dependent | Student friendly: Yes | Embedded brand mark. Re-check the live job page before applying; vacancies can close or change.</t>
        </is>
      </c>
    </row>
    <row r="122" ht="43.2" customHeight="1">
      <c r="A122" s="2" t="n"/>
      <c r="B122" s="2" t="inlineStr">
        <is>
          <t>Starbucks</t>
        </is>
      </c>
      <c r="C122" s="2" t="inlineStr">
        <is>
          <t>Part-time / Student</t>
        </is>
      </c>
      <c r="D122" s="2" t="inlineStr">
        <is>
          <t>Paris / Greater Paris</t>
        </is>
      </c>
      <c r="E122" s="2" t="inlineStr">
        <is>
          <t>Not specified</t>
        </is>
      </c>
      <c r="F122" s="2" t="inlineStr">
        <is>
          <t>Food Service / Coffee &amp; Bakery</t>
        </is>
      </c>
      <c r="G122" s="2" t="inlineStr">
        <is>
          <t>Barista / store team</t>
        </is>
      </c>
      <c r="H122" s="2" t="inlineStr">
        <is>
          <t>Paris 1st (Rambuteau): 77 Rue Rambuteau, 75001 Paris</t>
        </is>
      </c>
      <c r="I122" s="2" t="inlineStr">
        <is>
          <t>🟡 Company recruits part-time; exact current location not verified</t>
        </is>
      </c>
      <c r="J122" s="2" t="inlineStr">
        <is>
          <t>https://www.starbucks.fr/recrutement</t>
        </is>
      </c>
      <c r="K122" s="2" t="inlineStr">
        <is>
          <t>https://www.starbucks.fr/recrutement</t>
        </is>
      </c>
      <c r="L122" s="2" t="inlineStr">
        <is>
          <t>Favicon / company logo</t>
        </is>
      </c>
      <c r="M122" s="5" t="n">
        <v>46255</v>
      </c>
      <c r="N122" s="2" t="inlineStr">
        <is>
          <t>French: French likely; English useful | English: Required / useful / role-dependent | Student friendly: Yes | Embedded brand mark. Re-check the live job page before applying; vacancies can close or change.</t>
        </is>
      </c>
    </row>
    <row r="123" ht="43.2" customHeight="1">
      <c r="A123" s="2" t="n"/>
      <c r="B123" s="2" t="inlineStr">
        <is>
          <t>Starbucks</t>
        </is>
      </c>
      <c r="C123" s="2" t="inlineStr">
        <is>
          <t>Part-time / Student</t>
        </is>
      </c>
      <c r="D123" s="2" t="inlineStr">
        <is>
          <t>Paris / Greater Paris</t>
        </is>
      </c>
      <c r="E123" s="2" t="inlineStr">
        <is>
          <t>Not specified</t>
        </is>
      </c>
      <c r="F123" s="2" t="inlineStr">
        <is>
          <t>Food Service / Coffee &amp; Bakery</t>
        </is>
      </c>
      <c r="G123" s="2" t="inlineStr">
        <is>
          <t>Barista / store team</t>
        </is>
      </c>
      <c r="H123" s="2" t="inlineStr">
        <is>
          <t>Paris 6th (Saint-Michel): 24 Bd Saint-Michel, 75006 Paris</t>
        </is>
      </c>
      <c r="I123" s="2" t="inlineStr">
        <is>
          <t>🟡 Company recruits part-time; exact current location not verified</t>
        </is>
      </c>
      <c r="J123" s="2" t="inlineStr">
        <is>
          <t>https://www.starbucks.fr/recrutement</t>
        </is>
      </c>
      <c r="K123" s="2" t="inlineStr">
        <is>
          <t>https://www.starbucks.fr/recrutement</t>
        </is>
      </c>
      <c r="L123" s="2" t="inlineStr">
        <is>
          <t>Favicon / company logo</t>
        </is>
      </c>
      <c r="M123" s="5" t="n">
        <v>46255</v>
      </c>
      <c r="N123" s="2" t="inlineStr">
        <is>
          <t>French: French likely; English useful | English: Required / useful / role-dependent | Student friendly: Yes | Embedded brand mark. Re-check the live job page before applying; vacancies can close or change.</t>
        </is>
      </c>
    </row>
    <row r="124" ht="43.2" customHeight="1">
      <c r="A124" s="2" t="n"/>
      <c r="B124" s="2" t="inlineStr">
        <is>
          <t>Starbucks</t>
        </is>
      </c>
      <c r="C124" s="2" t="inlineStr">
        <is>
          <t>Part-time / Student</t>
        </is>
      </c>
      <c r="D124" s="2" t="inlineStr">
        <is>
          <t>Paris / Greater Paris</t>
        </is>
      </c>
      <c r="E124" s="2" t="inlineStr">
        <is>
          <t>Not specified</t>
        </is>
      </c>
      <c r="F124" s="2" t="inlineStr">
        <is>
          <t>Food Service / Coffee &amp; Bakery</t>
        </is>
      </c>
      <c r="G124" s="2" t="inlineStr">
        <is>
          <t>Barista / store team</t>
        </is>
      </c>
      <c r="H124" s="2" t="inlineStr">
        <is>
          <t>Paris 13th (Avenue de France): 107 Av. de France, 75013 Paris</t>
        </is>
      </c>
      <c r="I124" s="2" t="inlineStr">
        <is>
          <t>🟡 Company recruits part-time; exact current location not verified</t>
        </is>
      </c>
      <c r="J124" s="2" t="inlineStr">
        <is>
          <t>https://www.starbucks.fr/recrutement</t>
        </is>
      </c>
      <c r="K124" s="2" t="inlineStr">
        <is>
          <t>https://www.starbucks.fr/recrutement</t>
        </is>
      </c>
      <c r="L124" s="2" t="inlineStr">
        <is>
          <t>Favicon / company logo</t>
        </is>
      </c>
      <c r="M124" s="5" t="n">
        <v>46255</v>
      </c>
      <c r="N124" s="2" t="inlineStr">
        <is>
          <t>French: French likely; English useful | English: Required / useful / role-dependent | Student friendly: Yes | Embedded brand mark. Re-check the live job page before applying; vacancies can close or change.</t>
        </is>
      </c>
    </row>
    <row r="125" ht="43.2" customHeight="1">
      <c r="A125" s="2" t="n"/>
      <c r="B125" s="2" t="inlineStr">
        <is>
          <t>Starbucks</t>
        </is>
      </c>
      <c r="C125" s="2" t="inlineStr">
        <is>
          <t>Part-time / Student</t>
        </is>
      </c>
      <c r="D125" s="2" t="inlineStr">
        <is>
          <t>Paris / Greater Paris</t>
        </is>
      </c>
      <c r="E125" s="2" t="inlineStr">
        <is>
          <t>Not specified</t>
        </is>
      </c>
      <c r="F125" s="2" t="inlineStr">
        <is>
          <t>Food Service / Coffee &amp; Bakery</t>
        </is>
      </c>
      <c r="G125" s="2" t="inlineStr">
        <is>
          <t>Barista / store team</t>
        </is>
      </c>
      <c r="H125" s="2" t="inlineStr">
        <is>
          <t>Paris 2nd (Poissonnière): 7 Bd Poissonnière, 75002 Paris</t>
        </is>
      </c>
      <c r="I125" s="2" t="inlineStr">
        <is>
          <t>🟡 Company recruits part-time; exact current location not verified</t>
        </is>
      </c>
      <c r="J125" s="2" t="inlineStr">
        <is>
          <t>https://www.starbucks.fr/recrutement</t>
        </is>
      </c>
      <c r="K125" s="2" t="inlineStr">
        <is>
          <t>https://www.starbucks.fr/recrutement</t>
        </is>
      </c>
      <c r="L125" s="2" t="inlineStr">
        <is>
          <t>Favicon / company logo</t>
        </is>
      </c>
      <c r="M125" s="5" t="n">
        <v>46255</v>
      </c>
      <c r="N125" s="2" t="inlineStr">
        <is>
          <t>French: French likely; English useful | English: Required / useful / role-dependent | Student friendly: Yes | Embedded brand mark. Re-check the live job page before applying; vacancies can close or change.</t>
        </is>
      </c>
    </row>
    <row r="126" ht="43.2" customHeight="1">
      <c r="A126" s="2" t="n"/>
      <c r="B126" s="2" t="inlineStr">
        <is>
          <t>Pret A Manger</t>
        </is>
      </c>
      <c r="C126" s="2" t="inlineStr">
        <is>
          <t>Part-time</t>
        </is>
      </c>
      <c r="D126" s="2" t="inlineStr">
        <is>
          <t>Paris</t>
        </is>
      </c>
      <c r="E126" s="2" t="inlineStr">
        <is>
          <t>Not specified</t>
        </is>
      </c>
      <c r="F126" s="2" t="inlineStr">
        <is>
          <t>Food Service / Coffee &amp; Bakery</t>
        </is>
      </c>
      <c r="G126" s="2" t="inlineStr">
        <is>
          <t>Team Member / Service</t>
        </is>
      </c>
      <c r="H126" s="2" t="inlineStr">
        <is>
          <t>34 Rue du Louvre, 75001 Paris, France</t>
        </is>
      </c>
      <c r="I126" s="2" t="inlineStr">
        <is>
          <t>🟢 Current hiring signal found</t>
        </is>
      </c>
      <c r="J126" s="2" t="inlineStr">
        <is>
          <t>https://www.pret.co.uk/en-GB/pret-jobs</t>
        </is>
      </c>
      <c r="K126" s="2" t="inlineStr">
        <is>
          <t>https://www.pret.co.uk/en-GB/pret-jobs</t>
        </is>
      </c>
      <c r="L126" s="2" t="inlineStr">
        <is>
          <t>Favicon / company logo</t>
        </is>
      </c>
      <c r="M126" s="5" t="n">
        <v>46255</v>
      </c>
      <c r="N126" s="2" t="inlineStr">
        <is>
          <t>French: French likely; English useful | English: Required / useful / role-dependent | Student friendly: Yes | Embedded brand mark. Re-check the live job page before applying; vacancies can close or change.</t>
        </is>
      </c>
    </row>
    <row r="127" ht="28.8" customHeight="1">
      <c r="A127" s="2" t="n"/>
      <c r="B127" s="2" t="inlineStr">
        <is>
          <t>Domino's Pizza</t>
        </is>
      </c>
      <c r="C127" s="2" t="inlineStr">
        <is>
          <t>Part-time</t>
        </is>
      </c>
      <c r="D127" s="2" t="inlineStr">
        <is>
          <t>Paris / Greater Paris</t>
        </is>
      </c>
      <c r="E127" s="2" t="inlineStr">
        <is>
          <t>Not specified</t>
        </is>
      </c>
      <c r="F127" s="2" t="inlineStr">
        <is>
          <t>Food Service / Pizza Delivery</t>
        </is>
      </c>
      <c r="G127" s="2" t="inlineStr">
        <is>
          <t>Delivery / store team</t>
        </is>
      </c>
      <c r="H127" s="2" t="inlineStr">
        <is>
          <t>Paris 13 BNF: Rue Tolbiac, Paris</t>
        </is>
      </c>
      <c r="I127" s="2" t="inlineStr">
        <is>
          <t>🟡 Company recruits part-time; exact current location not verified</t>
        </is>
      </c>
      <c r="J127" s="2" t="inlineStr">
        <is>
          <t>https://www.dominos.fr/recrutement</t>
        </is>
      </c>
      <c r="K127" s="2" t="inlineStr">
        <is>
          <t>https://www.dominos.fr/recrutement</t>
        </is>
      </c>
      <c r="L127" s="2" t="inlineStr">
        <is>
          <t>Favicon / company logo</t>
        </is>
      </c>
      <c r="M127" s="5" t="n">
        <v>46255</v>
      </c>
      <c r="N127" s="2" t="inlineStr">
        <is>
          <t>French: French likely | English: Not specified | Student friendly: Yes | Embedded brand mark. Re-check the live job page before applying; vacancies can close or change.</t>
        </is>
      </c>
    </row>
    <row r="128" ht="28.8" customHeight="1">
      <c r="A128" s="2" t="n"/>
      <c r="B128" s="2" t="inlineStr">
        <is>
          <t>Domino's Pizza</t>
        </is>
      </c>
      <c r="C128" s="2" t="inlineStr">
        <is>
          <t>Part-time</t>
        </is>
      </c>
      <c r="D128" s="2" t="inlineStr">
        <is>
          <t>Paris / Greater Paris</t>
        </is>
      </c>
      <c r="E128" s="2" t="inlineStr">
        <is>
          <t>Not specified</t>
        </is>
      </c>
      <c r="F128" s="2" t="inlineStr">
        <is>
          <t>Food Service / Pizza Delivery</t>
        </is>
      </c>
      <c r="G128" s="2" t="inlineStr">
        <is>
          <t>Delivery / store team</t>
        </is>
      </c>
      <c r="H128" s="2" t="inlineStr">
        <is>
          <t>Paris 17 - Place des Ternes: Rue Lebon, Paris</t>
        </is>
      </c>
      <c r="I128" s="2" t="inlineStr">
        <is>
          <t>🟡 Company recruits part-time; exact current location not verified</t>
        </is>
      </c>
      <c r="J128" s="2" t="inlineStr">
        <is>
          <t>https://www.dominos.fr/recrutement</t>
        </is>
      </c>
      <c r="K128" s="2" t="inlineStr">
        <is>
          <t>https://www.dominos.fr/recrutement</t>
        </is>
      </c>
      <c r="L128" s="2" t="inlineStr">
        <is>
          <t>Favicon / company logo</t>
        </is>
      </c>
      <c r="M128" s="5" t="n">
        <v>46255</v>
      </c>
      <c r="N128" s="2" t="inlineStr">
        <is>
          <t>French: French likely | English: Not specified | Student friendly: Yes | Embedded brand mark. Re-check the live job page before applying; vacancies can close or change.</t>
        </is>
      </c>
    </row>
    <row r="129" ht="28.8" customHeight="1">
      <c r="A129" s="2" t="n"/>
      <c r="B129" s="2" t="inlineStr">
        <is>
          <t>Domino's Pizza</t>
        </is>
      </c>
      <c r="C129" s="2" t="inlineStr">
        <is>
          <t>Part-time</t>
        </is>
      </c>
      <c r="D129" s="2" t="inlineStr">
        <is>
          <t>Paris / Greater Paris</t>
        </is>
      </c>
      <c r="E129" s="2" t="inlineStr">
        <is>
          <t>Not specified</t>
        </is>
      </c>
      <c r="F129" s="2" t="inlineStr">
        <is>
          <t>Food Service / Pizza Delivery</t>
        </is>
      </c>
      <c r="G129" s="2" t="inlineStr">
        <is>
          <t>Delivery / store team</t>
        </is>
      </c>
      <c r="H129" s="2" t="inlineStr">
        <is>
          <t>Paris 17 - Batignolles: Rue Legendre, Paris</t>
        </is>
      </c>
      <c r="I129" s="2" t="inlineStr">
        <is>
          <t>🟡 Company recruits part-time; exact current location not verified</t>
        </is>
      </c>
      <c r="J129" s="2" t="inlineStr">
        <is>
          <t>https://www.dominos.fr/recrutement</t>
        </is>
      </c>
      <c r="K129" s="2" t="inlineStr">
        <is>
          <t>https://www.dominos.fr/recrutement</t>
        </is>
      </c>
      <c r="L129" s="2" t="inlineStr">
        <is>
          <t>Favicon / company logo</t>
        </is>
      </c>
      <c r="M129" s="5" t="n">
        <v>46255</v>
      </c>
      <c r="N129" s="2" t="inlineStr">
        <is>
          <t>French: French likely | English: Not specified | Student friendly: Yes | Embedded brand mark. Re-check the live job page before applying; vacancies can close or change.</t>
        </is>
      </c>
    </row>
    <row r="130" ht="28.8" customHeight="1">
      <c r="A130" s="2" t="n"/>
      <c r="B130" s="2" t="inlineStr">
        <is>
          <t>Domino's Pizza</t>
        </is>
      </c>
      <c r="C130" s="2" t="inlineStr">
        <is>
          <t>Part-time</t>
        </is>
      </c>
      <c r="D130" s="2" t="inlineStr">
        <is>
          <t>Paris / Greater Paris</t>
        </is>
      </c>
      <c r="E130" s="2" t="inlineStr">
        <is>
          <t>Not specified</t>
        </is>
      </c>
      <c r="F130" s="2" t="inlineStr">
        <is>
          <t>Food Service / Pizza Delivery</t>
        </is>
      </c>
      <c r="G130" s="2" t="inlineStr">
        <is>
          <t>Delivery / store team</t>
        </is>
      </c>
      <c r="H130" s="2" t="inlineStr">
        <is>
          <t>Paris 16 South: Rue Bosio, Paris</t>
        </is>
      </c>
      <c r="I130" s="2" t="inlineStr">
        <is>
          <t>🟡 Company recruits part-time; exact current location not verified</t>
        </is>
      </c>
      <c r="J130" s="2" t="inlineStr">
        <is>
          <t>https://www.dominos.fr/recrutement</t>
        </is>
      </c>
      <c r="K130" s="2" t="inlineStr">
        <is>
          <t>https://www.dominos.fr/recrutement</t>
        </is>
      </c>
      <c r="L130" s="2" t="inlineStr">
        <is>
          <t>Favicon / company logo</t>
        </is>
      </c>
      <c r="M130" s="5" t="n">
        <v>46255</v>
      </c>
      <c r="N130" s="2" t="inlineStr">
        <is>
          <t>French: French likely | English: Not specified | Student friendly: Yes | Embedded brand mark. Re-check the live job page before applying; vacancies can close or change.</t>
        </is>
      </c>
    </row>
    <row r="131" ht="28.8" customHeight="1">
      <c r="A131" s="2" t="n"/>
      <c r="B131" s="2" t="inlineStr">
        <is>
          <t>Domino's Pizza</t>
        </is>
      </c>
      <c r="C131" s="2" t="inlineStr">
        <is>
          <t>Part-time</t>
        </is>
      </c>
      <c r="D131" s="2" t="inlineStr">
        <is>
          <t>Paris / Greater Paris</t>
        </is>
      </c>
      <c r="E131" s="2" t="inlineStr">
        <is>
          <t>Not specified</t>
        </is>
      </c>
      <c r="F131" s="2" t="inlineStr">
        <is>
          <t>Food Service / Pizza Delivery</t>
        </is>
      </c>
      <c r="G131" s="2" t="inlineStr">
        <is>
          <t>Delivery / store team</t>
        </is>
      </c>
      <c r="H131" s="2" t="inlineStr">
        <is>
          <t>Bourg-la-Reine: Avenue du Général Leclerc, Bourg-la-Reine</t>
        </is>
      </c>
      <c r="I131" s="2" t="inlineStr">
        <is>
          <t>🟡 Company recruits part-time; exact current location not verified</t>
        </is>
      </c>
      <c r="J131" s="2" t="inlineStr">
        <is>
          <t>https://www.dominos.fr/recrutement</t>
        </is>
      </c>
      <c r="K131" s="2" t="inlineStr">
        <is>
          <t>https://www.dominos.fr/recrutement</t>
        </is>
      </c>
      <c r="L131" s="2" t="inlineStr">
        <is>
          <t>Favicon / company logo</t>
        </is>
      </c>
      <c r="M131" s="5" t="n">
        <v>46255</v>
      </c>
      <c r="N131" s="2" t="inlineStr">
        <is>
          <t>French: French likely | English: Not specified | Student friendly: Yes | Embedded brand mark. Re-check the live job page before applying; vacancies can close or change.</t>
        </is>
      </c>
    </row>
    <row r="132" ht="28.8" customHeight="1">
      <c r="A132" s="2" t="n"/>
      <c r="B132" s="2" t="inlineStr">
        <is>
          <t>Domino's Pizza</t>
        </is>
      </c>
      <c r="C132" s="2" t="inlineStr">
        <is>
          <t>Part-time</t>
        </is>
      </c>
      <c r="D132" s="2" t="inlineStr">
        <is>
          <t>Paris / Greater Paris</t>
        </is>
      </c>
      <c r="E132" s="2" t="inlineStr">
        <is>
          <t>Not specified</t>
        </is>
      </c>
      <c r="F132" s="2" t="inlineStr">
        <is>
          <t>Food Service / Pizza Delivery</t>
        </is>
      </c>
      <c r="G132" s="2" t="inlineStr">
        <is>
          <t>Delivery / store team</t>
        </is>
      </c>
      <c r="H132" s="2" t="inlineStr">
        <is>
          <t>Bobigny: Rue de Paris, Bobigny</t>
        </is>
      </c>
      <c r="I132" s="2" t="inlineStr">
        <is>
          <t>🟡 Company recruits part-time; exact current location not verified</t>
        </is>
      </c>
      <c r="J132" s="2" t="inlineStr">
        <is>
          <t>https://www.dominos.fr/recrutement</t>
        </is>
      </c>
      <c r="K132" s="2" t="inlineStr">
        <is>
          <t>https://www.dominos.fr/recrutement</t>
        </is>
      </c>
      <c r="L132" s="2" t="inlineStr">
        <is>
          <t>Favicon / company logo</t>
        </is>
      </c>
      <c r="M132" s="5" t="n">
        <v>46255</v>
      </c>
      <c r="N132" s="2" t="inlineStr">
        <is>
          <t>French: French likely | English: Not specified | Student friendly: Yes | Embedded brand mark. Re-check the live job page before applying; vacancies can close or change.</t>
        </is>
      </c>
    </row>
  </sheetData>
  <autoFilter ref="A1:N13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8" customWidth="1" min="1" max="1"/>
    <col width="22" customWidth="1" min="2" max="2"/>
    <col width="24" customWidth="1" min="3" max="4"/>
    <col width="20" customWidth="1" min="5" max="5"/>
  </cols>
  <sheetData>
    <row r="1" ht="31.95" customHeight="1">
      <c r="A1" s="1" t="inlineStr">
        <is>
          <t>Company</t>
        </is>
      </c>
      <c r="B1" s="1" t="inlineStr">
        <is>
          <t>Job / Evidence URL</t>
        </is>
      </c>
      <c r="C1" s="1" t="inlineStr">
        <is>
          <t>Company Website</t>
        </is>
      </c>
      <c r="D1" s="1" t="inlineStr">
        <is>
          <t>What was verified</t>
        </is>
      </c>
      <c r="E1" s="1" t="inlineStr">
        <is>
          <t>Research date</t>
        </is>
      </c>
    </row>
    <row r="2" ht="57.6" customHeight="1">
      <c r="A2" s="2" t="inlineStr">
        <is>
          <t>Mistral AI</t>
        </is>
      </c>
      <c r="B2" s="2" t="inlineStr">
        <is>
          <t>https://jobs.ashbyhq.com/mistral.ai/50c74749-9fbc-471f-a647-f6cd22423ccf</t>
        </is>
      </c>
      <c r="C2" s="2" t="inlineStr">
        <is>
          <t>https://mistral.ai/careers/</t>
        </is>
      </c>
      <c r="D2" s="2" t="inlineStr">
        <is>
          <t>Public job/application evidence supplied in the source dataset; verify the live page before applying.</t>
        </is>
      </c>
      <c r="E2" s="3" t="n">
        <v>46255</v>
      </c>
    </row>
    <row r="3" ht="57.6" customHeight="1">
      <c r="A3" s="2" t="inlineStr">
        <is>
          <t>Alan</t>
        </is>
      </c>
      <c r="B3" s="2" t="inlineStr">
        <is>
          <t>https://jobs.ashbyhq.com/alan/c1910999-3e09-4d2e-8bac-e8a31eccd438</t>
        </is>
      </c>
      <c r="C3" s="2" t="inlineStr">
        <is>
          <t>https://alan.com/careers</t>
        </is>
      </c>
      <c r="D3" s="2" t="inlineStr">
        <is>
          <t>Public job/application evidence supplied in the source dataset; verify the live page before applying.</t>
        </is>
      </c>
      <c r="E3" s="3" t="n">
        <v>46255</v>
      </c>
    </row>
    <row r="4" ht="57.6" customHeight="1">
      <c r="A4" s="2" t="inlineStr">
        <is>
          <t>Back Market</t>
        </is>
      </c>
      <c r="B4" s="2" t="inlineStr">
        <is>
          <t>https://jobs.ashbyhq.com/backmarket/0d996099-3de0-418a-87ff-cc0f4e32407e</t>
        </is>
      </c>
      <c r="C4" s="2" t="inlineStr">
        <is>
          <t>https://jobs.ashbyhq.com/backmarket</t>
        </is>
      </c>
      <c r="D4" s="2" t="inlineStr">
        <is>
          <t>Public job/application evidence supplied in the source dataset; verify the live page before applying.</t>
        </is>
      </c>
      <c r="E4" s="3" t="n">
        <v>46255</v>
      </c>
    </row>
    <row r="5" ht="57.6" customHeight="1">
      <c r="A5" s="2" t="inlineStr">
        <is>
          <t>Upflow</t>
        </is>
      </c>
      <c r="B5" s="2" t="inlineStr">
        <is>
          <t>https://jobs.ashbyhq.com/upflow/d25957b8-1838-4d2f-b567-9d569289fb68</t>
        </is>
      </c>
      <c r="C5" s="2" t="inlineStr">
        <is>
          <t>https://upflow.io/careers</t>
        </is>
      </c>
      <c r="D5" s="2" t="inlineStr">
        <is>
          <t>Public job/application evidence supplied in the source dataset; verify the live page before applying.</t>
        </is>
      </c>
      <c r="E5" s="3" t="n">
        <v>46255</v>
      </c>
    </row>
    <row r="6" ht="57.6" customHeight="1">
      <c r="A6" s="2" t="inlineStr">
        <is>
          <t>Inato</t>
        </is>
      </c>
      <c r="B6" s="2" t="inlineStr">
        <is>
          <t>https://jobs.ashbyhq.com/inato/26983f36-ea51-4c6c-9779-6384171427bf</t>
        </is>
      </c>
      <c r="C6" s="2" t="inlineStr">
        <is>
          <t>https://inato.com/careers</t>
        </is>
      </c>
      <c r="D6" s="2" t="inlineStr">
        <is>
          <t>Public job/application evidence supplied in the source dataset; verify the live page before applying.</t>
        </is>
      </c>
      <c r="E6" s="3" t="n">
        <v>46255</v>
      </c>
    </row>
    <row r="7" ht="57.6" customHeight="1">
      <c r="A7" s="2" t="inlineStr">
        <is>
          <t>Dust</t>
        </is>
      </c>
      <c r="B7" s="2" t="inlineStr">
        <is>
          <t>https://jobs.ashbyhq.com/dust/31640a53-7c85-416b-9c95-610445a55e81</t>
        </is>
      </c>
      <c r="C7" s="2" t="inlineStr">
        <is>
          <t>https://dust.tt/careers</t>
        </is>
      </c>
      <c r="D7" s="2" t="inlineStr">
        <is>
          <t>Public job/application evidence supplied in the source dataset; verify the live page before applying.</t>
        </is>
      </c>
      <c r="E7" s="3" t="n">
        <v>46255</v>
      </c>
    </row>
    <row r="8" ht="57.6" customHeight="1">
      <c r="A8" s="2" t="inlineStr">
        <is>
          <t>amo / Bump</t>
        </is>
      </c>
      <c r="B8" s="2" t="inlineStr">
        <is>
          <t>https://jobs.ashbyhq.com/amo/fe22e91f-f148-4502-97ef-9f26438625b3</t>
        </is>
      </c>
      <c r="C8" s="2" t="inlineStr">
        <is>
          <t>https://www.amo.co/careers</t>
        </is>
      </c>
      <c r="D8" s="2" t="inlineStr">
        <is>
          <t>Public job/application evidence supplied in the source dataset; verify the live page before applying.</t>
        </is>
      </c>
      <c r="E8" s="3" t="n">
        <v>46255</v>
      </c>
    </row>
    <row r="9" ht="57.6" customHeight="1">
      <c r="A9" s="2" t="inlineStr">
        <is>
          <t>Alta Ares</t>
        </is>
      </c>
      <c r="B9" s="2" t="inlineStr">
        <is>
          <t>https://jobs.ashbyhq.com/alta-ares/5f198806-3f6b-435d-8538-a0e158d17c29</t>
        </is>
      </c>
      <c r="C9" s="2" t="inlineStr">
        <is>
          <t>https://www.altaares.com/</t>
        </is>
      </c>
      <c r="D9" s="2" t="inlineStr">
        <is>
          <t>Public job/application evidence supplied in the source dataset; verify the live page before applying.</t>
        </is>
      </c>
      <c r="E9" s="3" t="n">
        <v>46255</v>
      </c>
    </row>
    <row r="10" ht="57.6" customHeight="1">
      <c r="A10" s="2" t="inlineStr">
        <is>
          <t>Pivot</t>
        </is>
      </c>
      <c r="B10" s="2" t="inlineStr">
        <is>
          <t>https://jobs.ashbyhq.com/Pivot/fc07565f-d1ac-498e-b920-e9d3e22c1e2c/</t>
        </is>
      </c>
      <c r="C10" s="2" t="inlineStr">
        <is>
          <t>https://www.pivotapp.ai/careers</t>
        </is>
      </c>
      <c r="D10" s="2" t="inlineStr">
        <is>
          <t>Public job/application evidence supplied in the source dataset; verify the live page before applying.</t>
        </is>
      </c>
      <c r="E10" s="3" t="n">
        <v>46255</v>
      </c>
    </row>
    <row r="11" ht="57.6" customHeight="1">
      <c r="A11" s="2" t="inlineStr">
        <is>
          <t>Qonto</t>
        </is>
      </c>
      <c r="B11" s="2" t="inlineStr">
        <is>
          <t>https://jobs.lever.co/qonto</t>
        </is>
      </c>
      <c r="C11" s="2" t="inlineStr">
        <is>
          <t>https://qonto.com/en/careers</t>
        </is>
      </c>
      <c r="D11" s="2" t="inlineStr">
        <is>
          <t>Public job/application evidence supplied in the source dataset; verify the live page before applying.</t>
        </is>
      </c>
      <c r="E11" s="3" t="n">
        <v>46255</v>
      </c>
    </row>
    <row r="12" ht="57.6" customHeight="1">
      <c r="A12" s="2" t="inlineStr">
        <is>
          <t>BlaBlaCar</t>
        </is>
      </c>
      <c r="B12" s="2" t="inlineStr">
        <is>
          <t>https://jobs.lever.co/blablacar</t>
        </is>
      </c>
      <c r="C12" s="2" t="inlineStr">
        <is>
          <t>https://jobs.blablacar.com/</t>
        </is>
      </c>
      <c r="D12" s="2" t="inlineStr">
        <is>
          <t>Public job/application evidence supplied in the source dataset; verify the live page before applying.</t>
        </is>
      </c>
      <c r="E12" s="3" t="n">
        <v>46255</v>
      </c>
    </row>
    <row r="13" ht="57.6" customHeight="1">
      <c r="A13" s="2" t="inlineStr">
        <is>
          <t>Malt</t>
        </is>
      </c>
      <c r="B13" s="2" t="inlineStr">
        <is>
          <t>https://jobs.lever.co/malt</t>
        </is>
      </c>
      <c r="C13" s="2" t="inlineStr">
        <is>
          <t>https://www.malt.com/careers</t>
        </is>
      </c>
      <c r="D13" s="2" t="inlineStr">
        <is>
          <t>Public job/application evidence supplied in the source dataset; verify the live page before applying.</t>
        </is>
      </c>
      <c r="E13" s="3" t="n">
        <v>46255</v>
      </c>
    </row>
    <row r="14" ht="57.6" customHeight="1">
      <c r="A14" s="2" t="inlineStr">
        <is>
          <t>Doctolib</t>
        </is>
      </c>
      <c r="B14" s="2" t="inlineStr">
        <is>
          <t>https://careers.doctolib.fr/</t>
        </is>
      </c>
      <c r="C14" s="2" t="inlineStr">
        <is>
          <t>https://careers.doctolib.fr/</t>
        </is>
      </c>
      <c r="D14" s="2" t="inlineStr">
        <is>
          <t>Public job/application evidence supplied in the source dataset; verify the live page before applying.</t>
        </is>
      </c>
      <c r="E14" s="3" t="n">
        <v>46255</v>
      </c>
    </row>
    <row r="15" ht="57.6" customHeight="1">
      <c r="A15" s="2" t="inlineStr">
        <is>
          <t>Aircall</t>
        </is>
      </c>
      <c r="B15" s="2" t="inlineStr">
        <is>
          <t>https://aircall.io/careers/</t>
        </is>
      </c>
      <c r="C15" s="2" t="inlineStr">
        <is>
          <t>https://aircall.io/careers/</t>
        </is>
      </c>
      <c r="D15" s="2" t="inlineStr">
        <is>
          <t>Public job/application evidence supplied in the source dataset; verify the live page before applying.</t>
        </is>
      </c>
      <c r="E15" s="3" t="n">
        <v>46255</v>
      </c>
    </row>
    <row r="16" ht="57.6" customHeight="1">
      <c r="A16" s="2" t="inlineStr">
        <is>
          <t>Pigment</t>
        </is>
      </c>
      <c r="B16" s="2" t="inlineStr">
        <is>
          <t>https://jobs.lever.co/pigment</t>
        </is>
      </c>
      <c r="C16" s="2" t="inlineStr">
        <is>
          <t>https://www.pigment.com/careers</t>
        </is>
      </c>
      <c r="D16" s="2" t="inlineStr">
        <is>
          <t>Public job/application evidence supplied in the source dataset; verify the live page before applying.</t>
        </is>
      </c>
      <c r="E16" s="3" t="n">
        <v>46255</v>
      </c>
    </row>
    <row r="17" ht="57.6" customHeight="1">
      <c r="A17" s="2" t="inlineStr">
        <is>
          <t>Voodoo</t>
        </is>
      </c>
      <c r="B17" s="2" t="inlineStr">
        <is>
          <t>https://voodoo.io/careers</t>
        </is>
      </c>
      <c r="C17" s="2" t="inlineStr">
        <is>
          <t>https://voodoo.io/careers</t>
        </is>
      </c>
      <c r="D17" s="2" t="inlineStr">
        <is>
          <t>Public job/application evidence supplied in the source dataset; verify the live page before applying.</t>
        </is>
      </c>
      <c r="E17" s="3" t="n">
        <v>46255</v>
      </c>
    </row>
    <row r="18" ht="57.6" customHeight="1">
      <c r="A18" s="2" t="inlineStr">
        <is>
          <t>Front</t>
        </is>
      </c>
      <c r="B18" s="2" t="inlineStr">
        <is>
          <t>https://jobs.ashbyhq.com/frontcareers</t>
        </is>
      </c>
      <c r="C18" s="2" t="inlineStr">
        <is>
          <t>https://front.com/careers</t>
        </is>
      </c>
      <c r="D18" s="2" t="inlineStr">
        <is>
          <t>Public job/application evidence supplied in the source dataset; verify the live page before applying.</t>
        </is>
      </c>
      <c r="E18" s="3" t="n">
        <v>46255</v>
      </c>
    </row>
    <row r="19" ht="57.6" customHeight="1">
      <c r="A19" s="2" t="inlineStr">
        <is>
          <t>Akur8</t>
        </is>
      </c>
      <c r="B19" s="2" t="inlineStr">
        <is>
          <t>https://www.akur8.com/careers</t>
        </is>
      </c>
      <c r="C19" s="2" t="inlineStr">
        <is>
          <t>https://www.akur8.com/careers</t>
        </is>
      </c>
      <c r="D19" s="2" t="inlineStr">
        <is>
          <t>Public job/application evidence supplied in the source dataset; verify the live page before applying.</t>
        </is>
      </c>
      <c r="E19" s="3" t="n">
        <v>46255</v>
      </c>
    </row>
    <row r="20" ht="57.6" customHeight="1">
      <c r="A20" s="2" t="inlineStr">
        <is>
          <t>Sorare</t>
        </is>
      </c>
      <c r="B20" s="2" t="inlineStr">
        <is>
          <t>https://jobs.ashbyhq.com/sorare</t>
        </is>
      </c>
      <c r="C20" s="2" t="inlineStr">
        <is>
          <t>https://sorare.com/careers</t>
        </is>
      </c>
      <c r="D20" s="2" t="inlineStr">
        <is>
          <t>Public job/application evidence supplied in the source dataset; verify the live page before applying.</t>
        </is>
      </c>
      <c r="E20" s="3" t="n">
        <v>46255</v>
      </c>
    </row>
    <row r="21" ht="57.6" customHeight="1">
      <c r="A21" s="2" t="inlineStr">
        <is>
          <t>Scaleway</t>
        </is>
      </c>
      <c r="B21" s="2" t="inlineStr">
        <is>
          <t>https://www.scaleway.com/en/careers/</t>
        </is>
      </c>
      <c r="C21" s="2" t="inlineStr">
        <is>
          <t>https://www.scaleway.com/en/careers/</t>
        </is>
      </c>
      <c r="D21" s="2" t="inlineStr">
        <is>
          <t>Public job/application evidence supplied in the source dataset; verify the live page before applying.</t>
        </is>
      </c>
      <c r="E21" s="3" t="n">
        <v>46255</v>
      </c>
    </row>
    <row r="22" ht="57.6" customHeight="1">
      <c r="A22" s="2" t="inlineStr">
        <is>
          <t>Alan</t>
        </is>
      </c>
      <c r="B22" s="2" t="inlineStr">
        <is>
          <t>https://jobs.ashbyhq.com/alan/7f88aabb-e05f-4f50-89ce-c33ea3ee02df/</t>
        </is>
      </c>
      <c r="C22" s="2" t="inlineStr">
        <is>
          <t>https://alan.com/careers</t>
        </is>
      </c>
      <c r="D22" s="2" t="inlineStr">
        <is>
          <t>Public job/application evidence supplied in the source dataset; verify the live page before applying.</t>
        </is>
      </c>
      <c r="E22" s="3" t="n">
        <v>46255</v>
      </c>
    </row>
    <row r="23" ht="57.6" customHeight="1">
      <c r="A23" s="2" t="inlineStr">
        <is>
          <t>Back Market</t>
        </is>
      </c>
      <c r="B23" s="2" t="inlineStr">
        <is>
          <t>https://jobs.ashbyhq.com/backmarket/fcd2db82-bd03-46aa-929e-ffb4fd94527f</t>
        </is>
      </c>
      <c r="C23" s="2" t="inlineStr">
        <is>
          <t>https://jobs.ashbyhq.com/backmarket</t>
        </is>
      </c>
      <c r="D23" s="2" t="inlineStr">
        <is>
          <t>Public job/application evidence supplied in the source dataset; verify the live page before applying.</t>
        </is>
      </c>
      <c r="E23" s="3" t="n">
        <v>46255</v>
      </c>
    </row>
    <row r="24" ht="57.6" customHeight="1">
      <c r="A24" s="2" t="inlineStr">
        <is>
          <t>Pigment</t>
        </is>
      </c>
      <c r="B24" s="2" t="inlineStr">
        <is>
          <t>https://jobs.lever.co/pigment</t>
        </is>
      </c>
      <c r="C24" s="2" t="inlineStr">
        <is>
          <t>https://www.pigment.com/careers</t>
        </is>
      </c>
      <c r="D24" s="2" t="inlineStr">
        <is>
          <t>Public job/application evidence supplied in the source dataset; verify the live page before applying.</t>
        </is>
      </c>
      <c r="E24" s="3" t="n">
        <v>46255</v>
      </c>
    </row>
    <row r="25" ht="57.6" customHeight="1">
      <c r="A25" s="2" t="inlineStr">
        <is>
          <t>Qonto</t>
        </is>
      </c>
      <c r="B25" s="2" t="inlineStr">
        <is>
          <t>https://jobs.lever.co/qonto?commitment=Internship</t>
        </is>
      </c>
      <c r="C25" s="2" t="inlineStr">
        <is>
          <t>https://qonto.com/en/careers</t>
        </is>
      </c>
      <c r="D25" s="2" t="inlineStr">
        <is>
          <t>Public job/application evidence supplied in the source dataset; verify the live page before applying.</t>
        </is>
      </c>
      <c r="E25" s="3" t="n">
        <v>46255</v>
      </c>
    </row>
    <row r="26" ht="57.6" customHeight="1">
      <c r="A26" s="2" t="inlineStr">
        <is>
          <t>Malt</t>
        </is>
      </c>
      <c r="B26" s="2" t="inlineStr">
        <is>
          <t>https://jobs.lever.co/malt?commitment=FR%20Intern</t>
        </is>
      </c>
      <c r="C26" s="2" t="inlineStr">
        <is>
          <t>https://www.malt.com/careers</t>
        </is>
      </c>
      <c r="D26" s="2" t="inlineStr">
        <is>
          <t>Public job/application evidence supplied in the source dataset; verify the live page before applying.</t>
        </is>
      </c>
      <c r="E26" s="3" t="n">
        <v>46255</v>
      </c>
    </row>
    <row r="27" ht="57.6" customHeight="1">
      <c r="A27" s="2" t="inlineStr">
        <is>
          <t>Skello</t>
        </is>
      </c>
      <c r="B27" s="2" t="inlineStr">
        <is>
          <t>https://app.welcometothejungle.com/jobs/30v_UCe_</t>
        </is>
      </c>
      <c r="C27" s="2" t="inlineStr">
        <is>
          <t>https://www.skello.io/</t>
        </is>
      </c>
      <c r="D27" s="2" t="inlineStr">
        <is>
          <t>Public job/application evidence supplied in the source dataset; verify the live page before applying.</t>
        </is>
      </c>
      <c r="E27" s="3" t="n">
        <v>46255</v>
      </c>
    </row>
    <row r="28" ht="57.6" customHeight="1">
      <c r="A28" s="2" t="inlineStr">
        <is>
          <t>Aircall</t>
        </is>
      </c>
      <c r="B28" s="2" t="inlineStr">
        <is>
          <t>https://app.welcometothejungle.com/jobs/pziptkOd</t>
        </is>
      </c>
      <c r="C28" s="2" t="inlineStr">
        <is>
          <t>https://aircall.io/careers/</t>
        </is>
      </c>
      <c r="D28" s="2" t="inlineStr">
        <is>
          <t>Public job/application evidence supplied in the source dataset; verify the live page before applying.</t>
        </is>
      </c>
      <c r="E28" s="3" t="n">
        <v>46255</v>
      </c>
    </row>
    <row r="29" ht="57.6" customHeight="1">
      <c r="A29" s="2" t="inlineStr">
        <is>
          <t>Voodoo</t>
        </is>
      </c>
      <c r="B29" s="2" t="inlineStr">
        <is>
          <t>https://app.welcometothejungle.com/jobs/zjdEzaXo</t>
        </is>
      </c>
      <c r="C29" s="2" t="inlineStr">
        <is>
          <t>https://voodoo.io/careers</t>
        </is>
      </c>
      <c r="D29" s="2" t="inlineStr">
        <is>
          <t>Public job/application evidence supplied in the source dataset; verify the live page before applying.</t>
        </is>
      </c>
      <c r="E29" s="3" t="n">
        <v>46255</v>
      </c>
    </row>
    <row r="30" ht="57.6" customHeight="1">
      <c r="A30" s="2" t="inlineStr">
        <is>
          <t>Quandela</t>
        </is>
      </c>
      <c r="B30" s="2" t="inlineStr">
        <is>
          <t>https://app.welcometothejungle.com/jobs/Iqqq3Huo</t>
        </is>
      </c>
      <c r="C30" s="2" t="inlineStr">
        <is>
          <t>https://www.quandela.com/</t>
        </is>
      </c>
      <c r="D30" s="2" t="inlineStr">
        <is>
          <t>Public job/application evidence supplied in the source dataset; verify the live page before applying.</t>
        </is>
      </c>
      <c r="E30" s="3" t="n">
        <v>46255</v>
      </c>
    </row>
    <row r="31" ht="86.40000000000001" customHeight="1">
      <c r="A31" s="2" t="inlineStr">
        <is>
          <t>Daisy</t>
        </is>
      </c>
      <c r="B31" s="2" t="inlineStr">
        <is>
          <t>https://www.welcometothejungle.com/fr/companies/daisy/jobs/stage-no-code-automatisation-fin-d-etudes-make-api-saas_paris</t>
        </is>
      </c>
      <c r="C31" s="2" t="inlineStr">
        <is>
          <t>https://www.daisyapp.fr/</t>
        </is>
      </c>
      <c r="D31" s="2" t="inlineStr">
        <is>
          <t>Public job/application evidence supplied in the source dataset; verify the live page before applying.</t>
        </is>
      </c>
      <c r="E31" s="3" t="n">
        <v>46255</v>
      </c>
    </row>
    <row r="32" ht="57.6" customHeight="1">
      <c r="A32" s="2" t="inlineStr">
        <is>
          <t>Roundtable</t>
        </is>
      </c>
      <c r="B32" s="2" t="inlineStr">
        <is>
          <t>https://www.welcometothejungle.com/fr/companies/roundtable/jobs/growth-intern_paris</t>
        </is>
      </c>
      <c r="C32" s="2" t="inlineStr">
        <is>
          <t>https://roundtable.eu/</t>
        </is>
      </c>
      <c r="D32" s="2" t="inlineStr">
        <is>
          <t>Public job/application evidence supplied in the source dataset; verify the live page before applying.</t>
        </is>
      </c>
      <c r="E32" s="3" t="n">
        <v>46255</v>
      </c>
    </row>
    <row r="33" ht="57.6" customHeight="1">
      <c r="A33" s="2" t="inlineStr">
        <is>
          <t>Rollee</t>
        </is>
      </c>
      <c r="B33" s="2" t="inlineStr">
        <is>
          <t>https://app.welcometothejungle.com/jobs/Y7Hz8eaQ</t>
        </is>
      </c>
      <c r="C33" s="2" t="inlineStr">
        <is>
          <t>https://www.rollee.io/</t>
        </is>
      </c>
      <c r="D33" s="2" t="inlineStr">
        <is>
          <t>Public job/application evidence supplied in the source dataset; verify the live page before applying.</t>
        </is>
      </c>
      <c r="E33" s="3" t="n">
        <v>46255</v>
      </c>
    </row>
    <row r="34" ht="57.6" customHeight="1">
      <c r="A34" s="2" t="inlineStr">
        <is>
          <t>Deepomatic</t>
        </is>
      </c>
      <c r="B34" s="2" t="inlineStr">
        <is>
          <t>https://app.welcometothejungle.com/jobs/-gN5RXKs/company</t>
        </is>
      </c>
      <c r="C34" s="2" t="inlineStr">
        <is>
          <t>https://deepomatic.com/</t>
        </is>
      </c>
      <c r="D34" s="2" t="inlineStr">
        <is>
          <t>Public job/application evidence supplied in the source dataset; verify the live page before applying.</t>
        </is>
      </c>
      <c r="E34" s="3" t="n">
        <v>46255</v>
      </c>
    </row>
    <row r="35" ht="57.6" customHeight="1">
      <c r="A35" s="2" t="inlineStr">
        <is>
          <t>Wakeo</t>
        </is>
      </c>
      <c r="B35" s="2" t="inlineStr">
        <is>
          <t>https://app.welcometothejungle.com/jobs/ijcz3uZS/company</t>
        </is>
      </c>
      <c r="C35" s="2" t="inlineStr">
        <is>
          <t>https://wakeo.co/</t>
        </is>
      </c>
      <c r="D35" s="2" t="inlineStr">
        <is>
          <t>Public job/application evidence supplied in the source dataset; verify the live page before applying.</t>
        </is>
      </c>
      <c r="E35" s="3" t="n">
        <v>46255</v>
      </c>
    </row>
    <row r="36" ht="72" customHeight="1">
      <c r="A36" s="2" t="inlineStr">
        <is>
          <t>ZEPLUG</t>
        </is>
      </c>
      <c r="B36" s="2" t="inlineStr">
        <is>
          <t>https://www.welcometothejungle.com/fr/companies/zeplug/jobs/stage-automatisation-et-innovation_paris</t>
        </is>
      </c>
      <c r="C36" s="2" t="inlineStr">
        <is>
          <t>https://www.zeplug.com/</t>
        </is>
      </c>
      <c r="D36" s="2" t="inlineStr">
        <is>
          <t>Public job/application evidence supplied in the source dataset; verify the live page before applying.</t>
        </is>
      </c>
      <c r="E36" s="3" t="n">
        <v>46255</v>
      </c>
    </row>
    <row r="37" ht="72" customHeight="1">
      <c r="A37" s="2" t="inlineStr">
        <is>
          <t>Neosilver</t>
        </is>
      </c>
      <c r="B37" s="2" t="inlineStr">
        <is>
          <t>https://www.welcometothejungle.com/en/companies/neosilver/jobs/stage-commercial-e-marches-publics-aap-ao_paris</t>
        </is>
      </c>
      <c r="C37" s="2" t="inlineStr">
        <is>
          <t>https://neosilver.fr/</t>
        </is>
      </c>
      <c r="D37" s="2" t="inlineStr">
        <is>
          <t>Public job/application evidence supplied in the source dataset; verify the live page before applying.</t>
        </is>
      </c>
      <c r="E37" s="3" t="n">
        <v>46255</v>
      </c>
    </row>
    <row r="38" ht="72" customHeight="1">
      <c r="A38" s="2" t="inlineStr">
        <is>
          <t>Estuaire</t>
        </is>
      </c>
      <c r="B38" s="2" t="inlineStr">
        <is>
          <t>https://www.welcometothejungle.com/en/companies/estuaire/jobs/founders-associate-internship-or-apprenticeship_paris</t>
        </is>
      </c>
      <c r="C38" s="2" t="inlineStr">
        <is>
          <t>https://www.estuaire.tech/</t>
        </is>
      </c>
      <c r="D38" s="2" t="inlineStr">
        <is>
          <t>Public job/application evidence supplied in the source dataset; verify the live page before applying.</t>
        </is>
      </c>
      <c r="E38" s="3" t="n">
        <v>46255</v>
      </c>
    </row>
    <row r="39" ht="86.40000000000001" customHeight="1">
      <c r="A39" s="2" t="inlineStr">
        <is>
          <t>Blissim</t>
        </is>
      </c>
      <c r="B39" s="2" t="inlineStr">
        <is>
          <t>https://www.welcometothejungle.com/fr/companies/blissim/jobs/stage-ingenieur-data-amelioration-continue_paris</t>
        </is>
      </c>
      <c r="C39" s="2" t="inlineStr">
        <is>
          <t>https://blissim.fr/</t>
        </is>
      </c>
      <c r="D39" s="2" t="inlineStr">
        <is>
          <t>Public job/application evidence supplied in the source dataset; verify the live page before applying.</t>
        </is>
      </c>
      <c r="E39" s="3" t="n">
        <v>46255</v>
      </c>
    </row>
    <row r="40" ht="86.40000000000001" customHeight="1">
      <c r="A40" s="2" t="inlineStr">
        <is>
          <t>Doctolib</t>
        </is>
      </c>
      <c r="B40" s="2" t="inlineStr">
        <is>
          <t>https://www.welcometothejungle.com/fr/companies/doctolib/jobs/stage-consolidation-et-controle-financier-x-f-m-septembre-2026_paris</t>
        </is>
      </c>
      <c r="C40" s="2" t="inlineStr">
        <is>
          <t>https://careers.doctolib.fr/</t>
        </is>
      </c>
      <c r="D40" s="2" t="inlineStr">
        <is>
          <t>Public job/application evidence supplied in the source dataset; verify the live page before applying.</t>
        </is>
      </c>
      <c r="E40" s="3" t="n">
        <v>46255</v>
      </c>
    </row>
    <row r="41" ht="100.8" customHeight="1">
      <c r="A41" s="2" t="inlineStr">
        <is>
          <t>Garantme</t>
        </is>
      </c>
      <c r="B41" s="2" t="inlineStr">
        <is>
          <t>https://www.welcometothejungle.com/fr/companies/garantme-1/jobs/business-development-and-sales-stage-6-mois-debut-septembre-2026_paris</t>
        </is>
      </c>
      <c r="C41" s="2" t="inlineStr">
        <is>
          <t>https://garantme.fr/</t>
        </is>
      </c>
      <c r="D41" s="2" t="inlineStr">
        <is>
          <t>Public job/application evidence supplied in the source dataset; verify the live page before applying.</t>
        </is>
      </c>
      <c r="E41" s="3" t="n">
        <v>46255</v>
      </c>
    </row>
    <row r="42" ht="86.40000000000001" customHeight="1">
      <c r="A42" s="2" t="inlineStr">
        <is>
          <t>TABOBINE</t>
        </is>
      </c>
      <c r="B42" s="2" t="inlineStr">
        <is>
          <t>https://www.welcometothejungle.com/fr/companies/tabobine/jobs/stage-ingenieur-e-innovation_paris_TABOB_Rlr7lgy</t>
        </is>
      </c>
      <c r="C42" s="2" t="inlineStr">
        <is>
          <t>https://tabobine.com/</t>
        </is>
      </c>
      <c r="D42" s="2" t="inlineStr">
        <is>
          <t>Public job/application evidence supplied in the source dataset; verify the live page before applying.</t>
        </is>
      </c>
      <c r="E42" s="3" t="n">
        <v>46255</v>
      </c>
    </row>
    <row r="43" ht="57.6" customHeight="1">
      <c r="A43" s="2" t="inlineStr">
        <is>
          <t>Proton</t>
        </is>
      </c>
      <c r="B43" s="2" t="inlineStr">
        <is>
          <t>https://app.welcometothejungle.com/jobs/ZOukbc16</t>
        </is>
      </c>
      <c r="C43" s="2" t="inlineStr">
        <is>
          <t>https://proton.me/careers</t>
        </is>
      </c>
      <c r="D43" s="2" t="inlineStr">
        <is>
          <t>Public job/application evidence supplied in the source dataset; verify the live page before applying.</t>
        </is>
      </c>
      <c r="E43" s="3" t="n">
        <v>46255</v>
      </c>
    </row>
    <row r="44" ht="72" customHeight="1">
      <c r="A44" s="2" t="inlineStr">
        <is>
          <t>OneFlash</t>
        </is>
      </c>
      <c r="B44" s="2" t="inlineStr">
        <is>
          <t>https://www.welcometothejungle.com/en/companies/oneflash/jobs/stage-international-development_paris</t>
        </is>
      </c>
      <c r="C44" s="2" t="inlineStr">
        <is>
          <t>https://oneflash.co/</t>
        </is>
      </c>
      <c r="D44" s="2" t="inlineStr">
        <is>
          <t>Public job/application evidence supplied in the source dataset; verify the live page before applying.</t>
        </is>
      </c>
      <c r="E44" s="3" t="n">
        <v>46255</v>
      </c>
    </row>
    <row r="45" ht="57.6" customHeight="1">
      <c r="A45" s="2" t="inlineStr">
        <is>
          <t>Joko</t>
        </is>
      </c>
      <c r="B45" s="2" t="inlineStr">
        <is>
          <t>https://jobs.ashbyhq.com/joko/6e4e15ea-7d8e-4a02-b175-f536c14c3974</t>
        </is>
      </c>
      <c r="C45" s="2" t="inlineStr">
        <is>
          <t>https://joko.com/</t>
        </is>
      </c>
      <c r="D45" s="2" t="inlineStr">
        <is>
          <t>Public job/application evidence supplied in the source dataset; verify the live page before applying.</t>
        </is>
      </c>
      <c r="E45" s="3" t="n">
        <v>46255</v>
      </c>
    </row>
    <row r="46" ht="57.6" customHeight="1">
      <c r="A46" s="2" t="inlineStr">
        <is>
          <t>Singulier</t>
        </is>
      </c>
      <c r="B46" s="2" t="inlineStr">
        <is>
          <t>https://apply.workable.com/singulier/j/40E90AAB17</t>
        </is>
      </c>
      <c r="C46" s="2" t="inlineStr">
        <is>
          <t>https://singulier.co/</t>
        </is>
      </c>
      <c r="D46" s="2" t="inlineStr">
        <is>
          <t>Public job/application evidence supplied in the source dataset; verify the live page before applying.</t>
        </is>
      </c>
      <c r="E46" s="3" t="n">
        <v>46255</v>
      </c>
    </row>
    <row r="47" ht="57.6" customHeight="1">
      <c r="A47" s="2" t="inlineStr">
        <is>
          <t>Front</t>
        </is>
      </c>
      <c r="B47" s="2" t="inlineStr">
        <is>
          <t>https://jobs.ashbyhq.com/frontcareers/1026a32c-f8cc-4eee-992b-bacdf771d9fc</t>
        </is>
      </c>
      <c r="C47" s="2" t="inlineStr">
        <is>
          <t>https://front.com/careers</t>
        </is>
      </c>
      <c r="D47" s="2" t="inlineStr">
        <is>
          <t>Public job/application evidence supplied in the source dataset; verify the live page before applying.</t>
        </is>
      </c>
      <c r="E47" s="3" t="n">
        <v>46255</v>
      </c>
    </row>
    <row r="48" ht="86.40000000000001" customHeight="1">
      <c r="A48" s="2" t="inlineStr">
        <is>
          <t>Corma</t>
        </is>
      </c>
      <c r="B48" s="2" t="inlineStr">
        <is>
          <t>https://jobs.stationf.co/companies/corma/jobs/founders-associate-internship-right-hand-to-the-ceo-january-2027_paris</t>
        </is>
      </c>
      <c r="C48" s="2" t="inlineStr">
        <is>
          <t>https://stationf.co/</t>
        </is>
      </c>
      <c r="D48" s="2" t="inlineStr">
        <is>
          <t>Public job/application evidence supplied in the source dataset; verify the live page before applying.</t>
        </is>
      </c>
      <c r="E48" s="3" t="n">
        <v>46255</v>
      </c>
    </row>
    <row r="49" ht="86.40000000000001" customHeight="1">
      <c r="A49" s="2" t="inlineStr">
        <is>
          <t>MatR</t>
        </is>
      </c>
      <c r="B49" s="2" t="inlineStr">
        <is>
          <t>https://jobs.stationf.co/companies/matr/jobs/sales-development-representative-internship-m-f-x-matr_paris</t>
        </is>
      </c>
      <c r="C49" s="2" t="inlineStr">
        <is>
          <t>https://stationf.co/</t>
        </is>
      </c>
      <c r="D49" s="2" t="inlineStr">
        <is>
          <t>Public job/application evidence supplied in the source dataset; verify the live page before applying.</t>
        </is>
      </c>
      <c r="E49" s="3" t="n">
        <v>46255</v>
      </c>
    </row>
    <row r="50" ht="57.6" customHeight="1">
      <c r="A50" s="2" t="inlineStr">
        <is>
          <t>TikTok</t>
        </is>
      </c>
      <c r="B50" s="2" t="inlineStr">
        <is>
          <t>https://lifeattiktok.com/search?keyword=TikTok%20Shop%20France</t>
        </is>
      </c>
      <c r="C50" s="2" t="inlineStr">
        <is>
          <t>https://www.tiktok.com/careers</t>
        </is>
      </c>
      <c r="D50" s="2" t="inlineStr">
        <is>
          <t>Public job/application evidence supplied in the source dataset; verify the live page before applying.</t>
        </is>
      </c>
      <c r="E50" s="3" t="n">
        <v>46255</v>
      </c>
    </row>
    <row r="51" ht="57.6" customHeight="1">
      <c r="A51" s="2" t="inlineStr">
        <is>
          <t>McDonald's</t>
        </is>
      </c>
      <c r="B51" s="2" t="inlineStr">
        <is>
          <t>https://www.mcdonalds-recrute.fr/nos-restaurants/paris-convention/</t>
        </is>
      </c>
      <c r="C51" s="2" t="inlineStr">
        <is>
          <t>https://prd-recrute.mcdonalds.fr/nous-rejoindre/etudiants/</t>
        </is>
      </c>
      <c r="D51" s="2" t="inlineStr">
        <is>
          <t>Public job/application evidence supplied in the source dataset; verify the live page before applying.</t>
        </is>
      </c>
      <c r="E51" s="3" t="n">
        <v>46255</v>
      </c>
    </row>
    <row r="52" ht="57.6" customHeight="1">
      <c r="A52" s="2" t="inlineStr">
        <is>
          <t>McDonald's</t>
        </is>
      </c>
      <c r="B52" s="2" t="inlineStr">
        <is>
          <t>https://www.mcdonalds-recrute.fr/nos-restaurants/paris-avenue-de-choisy/</t>
        </is>
      </c>
      <c r="C52" s="2" t="inlineStr">
        <is>
          <t>https://prd-recrute.mcdonalds.fr/nous-rejoindre/etudiants/</t>
        </is>
      </c>
      <c r="D52" s="2" t="inlineStr">
        <is>
          <t>Public job/application evidence supplied in the source dataset; verify the live page before applying.</t>
        </is>
      </c>
      <c r="E52" s="3" t="n">
        <v>46255</v>
      </c>
    </row>
    <row r="53" ht="57.6" customHeight="1">
      <c r="A53" s="2" t="inlineStr">
        <is>
          <t>McDonald's</t>
        </is>
      </c>
      <c r="B53" s="2" t="inlineStr">
        <is>
          <t>https://www.mcdonalds-recrute.fr/nos-restaurants/paris-porte-montreuil/</t>
        </is>
      </c>
      <c r="C53" s="2" t="inlineStr">
        <is>
          <t>https://prd-recrute.mcdonalds.fr/nous-rejoindre/etudiants/</t>
        </is>
      </c>
      <c r="D53" s="2" t="inlineStr">
        <is>
          <t>Public job/application evidence supplied in the source dataset; verify the live page before applying.</t>
        </is>
      </c>
      <c r="E53" s="3" t="n">
        <v>46255</v>
      </c>
    </row>
    <row r="54" ht="57.6" customHeight="1">
      <c r="A54" s="2" t="inlineStr">
        <is>
          <t>McDonald's</t>
        </is>
      </c>
      <c r="B54" s="2" t="inlineStr">
        <is>
          <t>https://www.mcdonalds-recrute.fr/nos-restaurants/paris-parmentier/</t>
        </is>
      </c>
      <c r="C54" s="2" t="inlineStr">
        <is>
          <t>https://prd-recrute.mcdonalds.fr/nous-rejoindre/etudiants/</t>
        </is>
      </c>
      <c r="D54" s="2" t="inlineStr">
        <is>
          <t>Public job/application evidence supplied in the source dataset; verify the live page before applying.</t>
        </is>
      </c>
      <c r="E54" s="3" t="n">
        <v>46255</v>
      </c>
    </row>
    <row r="55" ht="57.6" customHeight="1">
      <c r="A55" s="2" t="inlineStr">
        <is>
          <t>McDonald's</t>
        </is>
      </c>
      <c r="B55" s="2" t="inlineStr">
        <is>
          <t>https://www.mcdonalds-recrute.fr/nos-restaurants/paris-wagram/</t>
        </is>
      </c>
      <c r="C55" s="2" t="inlineStr">
        <is>
          <t>https://prd-recrute.mcdonalds.fr/nous-rejoindre/etudiants/</t>
        </is>
      </c>
      <c r="D55" s="2" t="inlineStr">
        <is>
          <t>Public job/application evidence supplied in the source dataset; verify the live page before applying.</t>
        </is>
      </c>
      <c r="E55" s="3" t="n">
        <v>46255</v>
      </c>
    </row>
    <row r="56" ht="57.6" customHeight="1">
      <c r="A56" s="2" t="inlineStr">
        <is>
          <t>McDonald's</t>
        </is>
      </c>
      <c r="B56" s="2" t="inlineStr">
        <is>
          <t>https://www.mcdonalds-recrute.fr/nos-restaurants/paris-porte-de-pantin/</t>
        </is>
      </c>
      <c r="C56" s="2" t="inlineStr">
        <is>
          <t>https://prd-recrute.mcdonalds.fr/nous-rejoindre/etudiants/</t>
        </is>
      </c>
      <c r="D56" s="2" t="inlineStr">
        <is>
          <t>Public job/application evidence supplied in the source dataset; verify the live page before applying.</t>
        </is>
      </c>
      <c r="E56" s="3" t="n">
        <v>46255</v>
      </c>
    </row>
    <row r="57" ht="57.6" customHeight="1">
      <c r="A57" s="2" t="inlineStr">
        <is>
          <t>McDonald's</t>
        </is>
      </c>
      <c r="B57" s="2" t="inlineStr">
        <is>
          <t>https://www.mcdonalds-recrute.fr/nos-restaurants/paris-porte-des-lilas/</t>
        </is>
      </c>
      <c r="C57" s="2" t="inlineStr">
        <is>
          <t>https://prd-recrute.mcdonalds.fr/nous-rejoindre/etudiants/</t>
        </is>
      </c>
      <c r="D57" s="2" t="inlineStr">
        <is>
          <t>Public job/application evidence supplied in the source dataset; verify the live page before applying.</t>
        </is>
      </c>
      <c r="E57" s="3" t="n">
        <v>46255</v>
      </c>
    </row>
    <row r="58" ht="57.6" customHeight="1">
      <c r="A58" s="2" t="inlineStr">
        <is>
          <t>McDonald's</t>
        </is>
      </c>
      <c r="B58" s="2" t="inlineStr">
        <is>
          <t>https://www.mcdonalds-recrute.fr/nos-restaurants/paris-clignancourt/</t>
        </is>
      </c>
      <c r="C58" s="2" t="inlineStr">
        <is>
          <t>https://prd-recrute.mcdonalds.fr/nous-rejoindre/etudiants/</t>
        </is>
      </c>
      <c r="D58" s="2" t="inlineStr">
        <is>
          <t>Public job/application evidence supplied in the source dataset; verify the live page before applying.</t>
        </is>
      </c>
      <c r="E58" s="3" t="n">
        <v>46255</v>
      </c>
    </row>
    <row r="59" ht="57.6" customHeight="1">
      <c r="A59" s="2" t="inlineStr">
        <is>
          <t>McDonald's</t>
        </is>
      </c>
      <c r="B59" s="2" t="inlineStr">
        <is>
          <t>https://www.mcdonalds-recrute.fr/nos-restaurants/paris-bonne-nouvelle/</t>
        </is>
      </c>
      <c r="C59" s="2" t="inlineStr">
        <is>
          <t>https://prd-recrute.mcdonalds.fr/nous-rejoindre/etudiants/</t>
        </is>
      </c>
      <c r="D59" s="2" t="inlineStr">
        <is>
          <t>Public job/application evidence supplied in the source dataset; verify the live page before applying.</t>
        </is>
      </c>
      <c r="E59" s="3" t="n">
        <v>46255</v>
      </c>
    </row>
    <row r="60" ht="57.6" customHeight="1">
      <c r="A60" s="2" t="inlineStr">
        <is>
          <t>Five Guys</t>
        </is>
      </c>
      <c r="B60" s="2" t="inlineStr">
        <is>
          <t>https://recrutement.fiveguys.fr/jobs?split_view=true</t>
        </is>
      </c>
      <c r="C60" s="2" t="inlineStr">
        <is>
          <t>https://recrutement.fiveguys.fr/</t>
        </is>
      </c>
      <c r="D60" s="2" t="inlineStr">
        <is>
          <t>Public job/application evidence supplied in the source dataset; verify the live page before applying.</t>
        </is>
      </c>
      <c r="E60" s="3" t="n">
        <v>46255</v>
      </c>
    </row>
    <row r="61" ht="57.6" customHeight="1">
      <c r="A61" s="2" t="inlineStr">
        <is>
          <t>Burger King</t>
        </is>
      </c>
      <c r="B61" s="2" t="inlineStr">
        <is>
          <t>https://emploi.burgerking.fr/nos-metiers/equipier/</t>
        </is>
      </c>
      <c r="C61" s="2" t="inlineStr">
        <is>
          <t>https://emploi.burgerking.fr/</t>
        </is>
      </c>
      <c r="D61" s="2" t="inlineStr">
        <is>
          <t>Public job/application evidence supplied in the source dataset; verify the live page before applying.</t>
        </is>
      </c>
      <c r="E61" s="3" t="n">
        <v>46255</v>
      </c>
    </row>
    <row r="62" ht="57.6" customHeight="1">
      <c r="A62" s="2" t="inlineStr">
        <is>
          <t>KFC</t>
        </is>
      </c>
      <c r="B62" s="2" t="inlineStr">
        <is>
          <t>https://fr.indeed.com/q-kfc-%C3%89quipier-polyvalent-l-paris-%2875%29-emplois.html</t>
        </is>
      </c>
      <c r="C62" s="2" t="inlineStr">
        <is>
          <t>https://www.kfc.fr/</t>
        </is>
      </c>
      <c r="D62" s="2" t="inlineStr">
        <is>
          <t>Public job/application evidence supplied in the source dataset; verify the live page before applying.</t>
        </is>
      </c>
      <c r="E62" s="3" t="n">
        <v>46255</v>
      </c>
    </row>
    <row r="63" ht="86.40000000000001" customHeight="1">
      <c r="A63" s="2" t="inlineStr">
        <is>
          <t>KFC</t>
        </is>
      </c>
      <c r="B63" s="2" t="inlineStr">
        <is>
          <t>https://fr.indeed.com/emplois?jlid=38ec80440089288&amp;q=equipier+polyvalent+en+temps+partiel+postes&amp;rbl=Paris+%2875%29</t>
        </is>
      </c>
      <c r="C63" s="2" t="inlineStr">
        <is>
          <t>https://www.kfc.fr/</t>
        </is>
      </c>
      <c r="D63" s="2" t="inlineStr">
        <is>
          <t>Public job/application evidence supplied in the source dataset; verify the live page before applying.</t>
        </is>
      </c>
      <c r="E63" s="3" t="n">
        <v>46255</v>
      </c>
    </row>
    <row r="64" ht="57.6" customHeight="1">
      <c r="A64" s="2" t="inlineStr">
        <is>
          <t>KFC</t>
        </is>
      </c>
      <c r="B64" s="2" t="inlineStr">
        <is>
          <t>https://fr.indeed.com/q-kfc-l-paris-9e-%2875%29-emplois.html</t>
        </is>
      </c>
      <c r="C64" s="2" t="inlineStr">
        <is>
          <t>https://www.kfc.fr/</t>
        </is>
      </c>
      <c r="D64" s="2" t="inlineStr">
        <is>
          <t>Public job/application evidence supplied in the source dataset; verify the live page before applying.</t>
        </is>
      </c>
      <c r="E64" s="3" t="n">
        <v>46255</v>
      </c>
    </row>
    <row r="65" ht="57.6" customHeight="1">
      <c r="A65" s="2" t="inlineStr">
        <is>
          <t>KFC</t>
        </is>
      </c>
      <c r="B65" s="2" t="inlineStr">
        <is>
          <t>https://fr.indeed.com/q-kfc-le-week-end-l-paris-%2875%29-emplois.html</t>
        </is>
      </c>
      <c r="C65" s="2" t="inlineStr">
        <is>
          <t>https://www.kfc.fr/</t>
        </is>
      </c>
      <c r="D65" s="2" t="inlineStr">
        <is>
          <t>Public job/application evidence supplied in the source dataset; verify the live page before applying.</t>
        </is>
      </c>
      <c r="E65" s="3" t="n">
        <v>46255</v>
      </c>
    </row>
    <row r="66" ht="57.6" customHeight="1">
      <c r="A66" s="2" t="inlineStr">
        <is>
          <t>KFC</t>
        </is>
      </c>
      <c r="B66" s="2" t="inlineStr">
        <is>
          <t>https://fr.indeed.com/q-kfc-%C3%89quipier-polyvalent-l-paris-%2875%29-emplois.html</t>
        </is>
      </c>
      <c r="C66" s="2" t="inlineStr">
        <is>
          <t>https://www.kfc.fr/</t>
        </is>
      </c>
      <c r="D66" s="2" t="inlineStr">
        <is>
          <t>Public job/application evidence supplied in the source dataset; verify the live page before applying.</t>
        </is>
      </c>
      <c r="E66" s="3" t="n">
        <v>46255</v>
      </c>
    </row>
    <row r="67" ht="57.6" customHeight="1">
      <c r="A67" s="2" t="inlineStr">
        <is>
          <t>KFC</t>
        </is>
      </c>
      <c r="B67" s="2" t="inlineStr">
        <is>
          <t>https://fr.indeed.com/q-kfc-%C3%89quipier-polyvalent-l-paris-%2875%29-emplois.html</t>
        </is>
      </c>
      <c r="C67" s="2" t="inlineStr">
        <is>
          <t>https://www.kfc.fr/</t>
        </is>
      </c>
      <c r="D67" s="2" t="inlineStr">
        <is>
          <t>Public job/application evidence supplied in the source dataset; verify the live page before applying.</t>
        </is>
      </c>
      <c r="E67" s="3" t="n">
        <v>46255</v>
      </c>
    </row>
    <row r="68" ht="86.40000000000001" customHeight="1">
      <c r="A68" s="2" t="inlineStr">
        <is>
          <t>Decathlon</t>
        </is>
      </c>
      <c r="B68" s="2" t="inlineStr">
        <is>
          <t>https://joinus.decathlon.fr/en/annonce/4547765-conseiller-ere-vente-omnicanal-hf-cdi-temps-partiel-75015-paris-15e-arrondissement</t>
        </is>
      </c>
      <c r="C68" s="2" t="inlineStr">
        <is>
          <t>https://joinus.decathlon.fr/</t>
        </is>
      </c>
      <c r="D68" s="2" t="inlineStr">
        <is>
          <t>Public job/application evidence supplied in the source dataset; verify the live page before applying.</t>
        </is>
      </c>
      <c r="E68" s="3" t="n">
        <v>46255</v>
      </c>
    </row>
    <row r="69" ht="86.40000000000001" customHeight="1">
      <c r="A69" s="2" t="inlineStr">
        <is>
          <t>Decathlon</t>
        </is>
      </c>
      <c r="B69" s="2" t="inlineStr">
        <is>
          <t>https://joinus.decathlon.fr/fr/annonce/3247217-vendeur-se-cdi-temps-partiel-a-partir-de-septembre-75019-paris?s_o=wttj</t>
        </is>
      </c>
      <c r="C69" s="2" t="inlineStr">
        <is>
          <t>https://joinus.decathlon.fr/</t>
        </is>
      </c>
      <c r="D69" s="2" t="inlineStr">
        <is>
          <t>Public job/application evidence supplied in the source dataset; verify the live page before applying.</t>
        </is>
      </c>
      <c r="E69" s="3" t="n">
        <v>46255</v>
      </c>
    </row>
    <row r="70" ht="57.6" customHeight="1">
      <c r="A70" s="2" t="inlineStr">
        <is>
          <t>Monoprix</t>
        </is>
      </c>
      <c r="B70" s="2" t="inlineStr">
        <is>
          <t>https://fr.indeed.com/viewjob?jk=4a9bcf51dc510310</t>
        </is>
      </c>
      <c r="C70" s="2" t="inlineStr">
        <is>
          <t>https://recrutement.monoprix.fr/</t>
        </is>
      </c>
      <c r="D70" s="2" t="inlineStr">
        <is>
          <t>Public job/application evidence supplied in the source dataset; verify the live page before applying.</t>
        </is>
      </c>
      <c r="E70" s="3" t="n">
        <v>46255</v>
      </c>
    </row>
    <row r="71" ht="72" customHeight="1">
      <c r="A71" s="2" t="inlineStr">
        <is>
          <t>Carrefour</t>
        </is>
      </c>
      <c r="B71" s="2" t="inlineStr">
        <is>
          <t>https://fr.indeed.com/q-carrefour-%C3%89tudiant-l-cr%C3%A9teil-%2894%29-emplois.html</t>
        </is>
      </c>
      <c r="C71" s="2" t="inlineStr">
        <is>
          <t>https://recrute.carrefour.fr/</t>
        </is>
      </c>
      <c r="D71" s="2" t="inlineStr">
        <is>
          <t>Public job/application evidence supplied in the source dataset; verify the live page before applying.</t>
        </is>
      </c>
      <c r="E71" s="3" t="n">
        <v>46255</v>
      </c>
    </row>
    <row r="72" ht="57.6" customHeight="1">
      <c r="A72" s="2" t="inlineStr">
        <is>
          <t>Carrefour</t>
        </is>
      </c>
      <c r="B72" s="2" t="inlineStr">
        <is>
          <t>https://fr.indeed.com/viewjob?jk=a8a19fc23ace8b18</t>
        </is>
      </c>
      <c r="C72" s="2" t="inlineStr">
        <is>
          <t>https://recrute.carrefour.fr/</t>
        </is>
      </c>
      <c r="D72" s="2" t="inlineStr">
        <is>
          <t>Public job/application evidence supplied in the source dataset; verify the live page before applying.</t>
        </is>
      </c>
      <c r="E72" s="3" t="n">
        <v>46255</v>
      </c>
    </row>
    <row r="73" ht="57.6" customHeight="1">
      <c r="A73" s="2" t="inlineStr">
        <is>
          <t>Carrefour</t>
        </is>
      </c>
      <c r="B73" s="2" t="inlineStr">
        <is>
          <t>https://fr.indeed.com/q-%C3%89tudiant-carrefour-l-paris-%2875%29-emplois.html</t>
        </is>
      </c>
      <c r="C73" s="2" t="inlineStr">
        <is>
          <t>https://recrute.carrefour.fr/</t>
        </is>
      </c>
      <c r="D73" s="2" t="inlineStr">
        <is>
          <t>Public job/application evidence supplied in the source dataset; verify the live page before applying.</t>
        </is>
      </c>
      <c r="E73" s="3" t="n">
        <v>46255</v>
      </c>
    </row>
    <row r="74" ht="57.6" customHeight="1">
      <c r="A74" s="2" t="inlineStr">
        <is>
          <t>Carrefour</t>
        </is>
      </c>
      <c r="B74" s="2" t="inlineStr">
        <is>
          <t>https://fr.indeed.com/q-carrefour-temps-partiel-l-paris-%2875%29-emplois.html</t>
        </is>
      </c>
      <c r="C74" s="2" t="inlineStr">
        <is>
          <t>https://recrute.carrefour.fr/</t>
        </is>
      </c>
      <c r="D74" s="2" t="inlineStr">
        <is>
          <t>Public job/application evidence supplied in the source dataset; verify the live page before applying.</t>
        </is>
      </c>
      <c r="E74" s="3" t="n">
        <v>46255</v>
      </c>
    </row>
    <row r="75" ht="57.6" customHeight="1">
      <c r="A75" s="2" t="inlineStr">
        <is>
          <t>Carrefour</t>
        </is>
      </c>
      <c r="B75" s="2" t="inlineStr">
        <is>
          <t>https://fr.indeed.com/q-carrefour-job-%C3%89tudiant-l-paris-%2875%29-emplois.html</t>
        </is>
      </c>
      <c r="C75" s="2" t="inlineStr">
        <is>
          <t>https://recrute.carrefour.fr/</t>
        </is>
      </c>
      <c r="D75" s="2" t="inlineStr">
        <is>
          <t>Public job/application evidence supplied in the source dataset; verify the live page before applying.</t>
        </is>
      </c>
      <c r="E75" s="3" t="n">
        <v>46255</v>
      </c>
    </row>
    <row r="76" ht="72" customHeight="1">
      <c r="A76" s="2" t="inlineStr">
        <is>
          <t>Carrefour</t>
        </is>
      </c>
      <c r="B76" s="2" t="inlineStr">
        <is>
          <t>https://fr.indeed.com/q-carrefour-%C3%89tudiant-l-paris-15e-%2875%29-emplois.html</t>
        </is>
      </c>
      <c r="C76" s="2" t="inlineStr">
        <is>
          <t>https://recrute.carrefour.fr/</t>
        </is>
      </c>
      <c r="D76" s="2" t="inlineStr">
        <is>
          <t>Public job/application evidence supplied in the source dataset; verify the live page before applying.</t>
        </is>
      </c>
      <c r="E76" s="3" t="n">
        <v>46255</v>
      </c>
    </row>
    <row r="77" ht="57.6" customHeight="1">
      <c r="A77" s="2" t="inlineStr">
        <is>
          <t>Franprix</t>
        </is>
      </c>
      <c r="B77" s="2" t="inlineStr">
        <is>
          <t>https://fr.indeed.com/Paris-%2875%29-Emplois-Monoprix%2C-Franprix%2C-Carrefour</t>
        </is>
      </c>
      <c r="C77" s="2" t="inlineStr">
        <is>
          <t>https://www.franprix.fr/</t>
        </is>
      </c>
      <c r="D77" s="2" t="inlineStr">
        <is>
          <t>Public job/application evidence supplied in the source dataset; verify the live page before applying.</t>
        </is>
      </c>
      <c r="E77" s="3" t="n">
        <v>46255</v>
      </c>
    </row>
    <row r="78" ht="57.6" customHeight="1">
      <c r="A78" s="2" t="inlineStr">
        <is>
          <t>Lidl</t>
        </is>
      </c>
      <c r="B78" s="2" t="inlineStr">
        <is>
          <t>https://jobs.lidl.fr/</t>
        </is>
      </c>
      <c r="C78" s="2" t="inlineStr">
        <is>
          <t>https://jobs.lidl.fr/</t>
        </is>
      </c>
      <c r="D78" s="2" t="inlineStr">
        <is>
          <t>Public job/application evidence supplied in the source dataset; verify the live page before applying.</t>
        </is>
      </c>
      <c r="E78" s="3" t="n">
        <v>46255</v>
      </c>
    </row>
    <row r="79" ht="57.6" customHeight="1">
      <c r="A79" s="2" t="inlineStr">
        <is>
          <t>Action</t>
        </is>
      </c>
      <c r="B79" s="2" t="inlineStr">
        <is>
          <t>https://www.action.jobs/fr-fr/</t>
        </is>
      </c>
      <c r="C79" s="2" t="inlineStr">
        <is>
          <t>https://www.action.jobs/fr-fr/</t>
        </is>
      </c>
      <c r="D79" s="2" t="inlineStr">
        <is>
          <t>Public job/application evidence supplied in the source dataset; verify the live page before applying.</t>
        </is>
      </c>
      <c r="E79" s="3" t="n">
        <v>46255</v>
      </c>
    </row>
    <row r="80" ht="57.6" customHeight="1">
      <c r="A80" s="2" t="inlineStr">
        <is>
          <t>Starbucks</t>
        </is>
      </c>
      <c r="B80" s="2" t="inlineStr">
        <is>
          <t>https://www.starbucks.fr/recrutement</t>
        </is>
      </c>
      <c r="C80" s="2" t="inlineStr">
        <is>
          <t>https://www.starbucks.fr/recrutement</t>
        </is>
      </c>
      <c r="D80" s="2" t="inlineStr">
        <is>
          <t>Public job/application evidence supplied in the source dataset; verify the live page before applying.</t>
        </is>
      </c>
      <c r="E80" s="3" t="n">
        <v>46255</v>
      </c>
    </row>
    <row r="81" ht="57.6" customHeight="1">
      <c r="A81" s="2" t="inlineStr">
        <is>
          <t>Pret A Manger</t>
        </is>
      </c>
      <c r="B81" s="2" t="inlineStr">
        <is>
          <t>https://www.pret.co.uk/en-GB/pret-jobs</t>
        </is>
      </c>
      <c r="C81" s="2" t="inlineStr">
        <is>
          <t>https://www.pret.co.uk/en-GB/pret-jobs</t>
        </is>
      </c>
      <c r="D81" s="2" t="inlineStr">
        <is>
          <t>Public job/application evidence supplied in the source dataset; verify the live page before applying.</t>
        </is>
      </c>
      <c r="E81" s="3" t="n">
        <v>46255</v>
      </c>
    </row>
    <row r="82" ht="57.6" customHeight="1">
      <c r="A82" s="2" t="inlineStr">
        <is>
          <t>Domino's Pizza</t>
        </is>
      </c>
      <c r="B82" s="2" t="inlineStr">
        <is>
          <t>https://www.dominos.fr/recrutement</t>
        </is>
      </c>
      <c r="C82" s="2" t="inlineStr">
        <is>
          <t>https://www.dominos.fr/recrutement</t>
        </is>
      </c>
      <c r="D82" s="2" t="inlineStr">
        <is>
          <t>Public job/application evidence supplied in the source dataset; verify the live page before applying.</t>
        </is>
      </c>
      <c r="E82" s="3" t="n">
        <v>46255</v>
      </c>
    </row>
  </sheetData>
  <autoFilter ref="A1:E8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4.4"/>
  <cols>
    <col width="30" customWidth="1" min="1" max="5"/>
  </cols>
  <sheetData>
    <row r="1">
      <c r="A1" s="6" t="inlineStr">
        <is>
          <t>Type</t>
        </is>
      </c>
      <c r="B1" s="6" t="inlineStr">
        <is>
          <t>Area</t>
        </is>
      </c>
      <c r="C1" s="6" t="inlineStr">
        <is>
          <t>Stage</t>
        </is>
      </c>
      <c r="D1" s="6" t="inlineStr">
        <is>
          <t>Sector</t>
        </is>
      </c>
      <c r="E1" s="6" t="inlineStr">
        <is>
          <t>Hiring Status</t>
        </is>
      </c>
    </row>
    <row r="2">
      <c r="A2" t="inlineStr">
        <is>
          <t>Full-time</t>
        </is>
      </c>
      <c r="B2" t="inlineStr">
        <is>
          <t>Aulnay-sous-Bois / Greater Paris</t>
        </is>
      </c>
      <c r="C2" t="inlineStr">
        <is>
          <t>Not specified</t>
        </is>
      </c>
      <c r="D2" t="inlineStr">
        <is>
          <t>AI / Computer Vision</t>
        </is>
      </c>
      <c r="E2" t="inlineStr">
        <is>
          <t>🟡 Company recruits part-time; exact current location not verified</t>
        </is>
      </c>
    </row>
    <row r="3">
      <c r="A3" t="inlineStr">
        <is>
          <t>Internship</t>
        </is>
      </c>
      <c r="B3" t="inlineStr">
        <is>
          <t>Levallois-Perret</t>
        </is>
      </c>
      <c r="D3" t="inlineStr">
        <is>
          <t>AI / Deeptech</t>
        </is>
      </c>
      <c r="E3" t="inlineStr">
        <is>
          <t>🟢 Current hiring signal found</t>
        </is>
      </c>
    </row>
    <row r="4">
      <c r="A4" t="inlineStr">
        <is>
          <t>Internship / Apprenticeship</t>
        </is>
      </c>
      <c r="B4" t="inlineStr">
        <is>
          <t>Massy</t>
        </is>
      </c>
      <c r="D4" t="inlineStr">
        <is>
          <t>AI / Procurement SaaS</t>
        </is>
      </c>
      <c r="E4" t="inlineStr">
        <is>
          <t>🟢 Currently hiring</t>
        </is>
      </c>
    </row>
    <row r="5">
      <c r="A5" t="inlineStr">
        <is>
          <t>Part-time</t>
        </is>
      </c>
      <c r="B5" t="inlineStr">
        <is>
          <t>Paris</t>
        </is>
      </c>
      <c r="D5" t="inlineStr">
        <is>
          <t>AI / SaaS</t>
        </is>
      </c>
    </row>
    <row r="6">
      <c r="A6" t="inlineStr">
        <is>
          <t>Part-time / CDI</t>
        </is>
      </c>
      <c r="B6" t="inlineStr">
        <is>
          <t>Paris / Greater Paris</t>
        </is>
      </c>
      <c r="D6" t="inlineStr">
        <is>
          <t>Beauty / E-commerce</t>
        </is>
      </c>
    </row>
    <row r="7">
      <c r="A7" t="inlineStr">
        <is>
          <t>Part-time / Student</t>
        </is>
      </c>
      <c r="B7" t="inlineStr">
        <is>
          <t>Paris / Remote France</t>
        </is>
      </c>
      <c r="D7" t="inlineStr">
        <is>
          <t>Climate / Aerospace</t>
        </is>
      </c>
    </row>
    <row r="8">
      <c r="B8" t="inlineStr">
        <is>
          <t>Paris / Station F</t>
        </is>
      </c>
      <c r="D8" t="inlineStr">
        <is>
          <t>Cloud / Infrastructure</t>
        </is>
      </c>
    </row>
    <row r="9">
      <c r="B9" t="inlineStr">
        <is>
          <t>Paris 12e</t>
        </is>
      </c>
      <c r="D9" t="inlineStr">
        <is>
          <t>Coffee / Food Service</t>
        </is>
      </c>
    </row>
    <row r="10">
      <c r="B10" t="inlineStr">
        <is>
          <t>Paris 13e / 15e / 19e</t>
        </is>
      </c>
      <c r="D10" t="inlineStr">
        <is>
          <t>Consulting / Data / AI</t>
        </is>
      </c>
    </row>
    <row r="11">
      <c r="B11" t="inlineStr">
        <is>
          <t>Paris 1e</t>
        </is>
      </c>
      <c r="D11" t="inlineStr">
        <is>
          <t>Consumer Tech / Social</t>
        </is>
      </c>
    </row>
    <row r="12">
      <c r="B12" t="inlineStr">
        <is>
          <t>Paris 1e / Paris 19e / Paris 20e</t>
        </is>
      </c>
      <c r="D12" t="inlineStr">
        <is>
          <t>Cybersecurity / Privacy</t>
        </is>
      </c>
    </row>
    <row r="13">
      <c r="B13" t="inlineStr">
        <is>
          <t>Paris 1er / Paris 9e / Paris 12e</t>
        </is>
      </c>
      <c r="D13" t="inlineStr">
        <is>
          <t>Data / SaaS</t>
        </is>
      </c>
    </row>
    <row r="14">
      <c r="B14" t="inlineStr">
        <is>
          <t>Paris 2e</t>
        </is>
      </c>
      <c r="D14" t="inlineStr">
        <is>
          <t>E-commerce / Circular Tech</t>
        </is>
      </c>
    </row>
    <row r="15">
      <c r="B15" t="inlineStr">
        <is>
          <t>Paris 3e</t>
        </is>
      </c>
      <c r="D15" t="inlineStr">
        <is>
          <t>EV Charging / Climate Tech</t>
        </is>
      </c>
    </row>
    <row r="16">
      <c r="B16" t="inlineStr">
        <is>
          <t>Paris 4e / 9e</t>
        </is>
      </c>
      <c r="D16" t="inlineStr">
        <is>
          <t>Fintech</t>
        </is>
      </c>
    </row>
    <row r="17">
      <c r="B17" t="inlineStr">
        <is>
          <t>Paris 8e</t>
        </is>
      </c>
      <c r="D17" t="inlineStr">
        <is>
          <t>Fintech / Consumer</t>
        </is>
      </c>
    </row>
    <row r="18">
      <c r="B18" t="inlineStr">
        <is>
          <t>Paris 9e</t>
        </is>
      </c>
      <c r="D18" t="inlineStr">
        <is>
          <t>Fintech / Employment Data</t>
        </is>
      </c>
    </row>
    <row r="19">
      <c r="D19" t="inlineStr">
        <is>
          <t>Fintech / Insurtech</t>
        </is>
      </c>
    </row>
    <row r="20">
      <c r="D20" t="inlineStr">
        <is>
          <t>Fintech / Private Markets</t>
        </is>
      </c>
    </row>
    <row r="21">
      <c r="D21" t="inlineStr">
        <is>
          <t>Fintech / SaaS</t>
        </is>
      </c>
    </row>
    <row r="22">
      <c r="D22" t="inlineStr">
        <is>
          <t>Food Service</t>
        </is>
      </c>
    </row>
    <row r="23">
      <c r="D23" t="inlineStr">
        <is>
          <t>Food Service / Delivery</t>
        </is>
      </c>
    </row>
    <row r="24">
      <c r="D24" t="inlineStr">
        <is>
          <t>Gaming / Mobile</t>
        </is>
      </c>
    </row>
    <row r="25">
      <c r="D25" t="inlineStr">
        <is>
          <t>HR Tech / SaaS</t>
        </is>
      </c>
    </row>
    <row r="26">
      <c r="D26" t="inlineStr">
        <is>
          <t>Health / SocialTech</t>
        </is>
      </c>
    </row>
    <row r="27">
      <c r="D27" t="inlineStr">
        <is>
          <t>Healthtech</t>
        </is>
      </c>
    </row>
    <row r="28">
      <c r="D28" t="inlineStr">
        <is>
          <t>Healthtech / Clinical Research</t>
        </is>
      </c>
    </row>
    <row r="29">
      <c r="D29" t="inlineStr">
        <is>
          <t>Healthtech / Insurtech</t>
        </is>
      </c>
    </row>
    <row r="30">
      <c r="D30" t="inlineStr">
        <is>
          <t>Innovation / Hardware</t>
        </is>
      </c>
    </row>
    <row r="31">
      <c r="D31" t="inlineStr">
        <is>
          <t>Insurtech / AI</t>
        </is>
      </c>
    </row>
    <row r="32">
      <c r="D32" t="inlineStr">
        <is>
          <t>Mobility</t>
        </is>
      </c>
    </row>
    <row r="33">
      <c r="D33" t="inlineStr">
        <is>
          <t>Mobility / SaaS</t>
        </is>
      </c>
    </row>
    <row r="34">
      <c r="D34" t="inlineStr">
        <is>
          <t>Quantum / Deeptech</t>
        </is>
      </c>
    </row>
    <row r="35">
      <c r="D35" t="inlineStr">
        <is>
          <t>Quick Service Restaurant</t>
        </is>
      </c>
    </row>
    <row r="36">
      <c r="D36" t="inlineStr">
        <is>
          <t>Retail / Discount</t>
        </is>
      </c>
    </row>
    <row r="37">
      <c r="D37" t="inlineStr">
        <is>
          <t>Retail / Grocery</t>
        </is>
      </c>
    </row>
    <row r="38">
      <c r="D38" t="inlineStr">
        <is>
          <t>Retail / Sports</t>
        </is>
      </c>
    </row>
    <row r="39">
      <c r="D39" t="inlineStr">
        <is>
          <t>SaaS</t>
        </is>
      </c>
    </row>
    <row r="40">
      <c r="D40" t="inlineStr">
        <is>
          <t>SaaS / Automation</t>
        </is>
      </c>
    </row>
    <row r="41">
      <c r="D41" t="inlineStr">
        <is>
          <t>SaaS / Communications</t>
        </is>
      </c>
    </row>
    <row r="42">
      <c r="D42" t="inlineStr">
        <is>
          <t>SaaS / Customer Communication</t>
        </is>
      </c>
    </row>
    <row r="43">
      <c r="D43" t="inlineStr">
        <is>
          <t>SaaS / Future of Work</t>
        </is>
      </c>
    </row>
    <row r="44">
      <c r="D44" t="inlineStr">
        <is>
          <t>SaaS / Planning</t>
        </is>
      </c>
    </row>
    <row r="45">
      <c r="D45" t="inlineStr">
        <is>
          <t>Social / E-commerce</t>
        </is>
      </c>
    </row>
    <row r="46">
      <c r="D46" t="inlineStr">
        <is>
          <t>Sports / Gaming / Web3</t>
        </is>
      </c>
    </row>
    <row r="47">
      <c r="D47" t="inlineStr">
        <is>
          <t>Supply Chain SaaS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2026-08-21T14:30:23Z</dcterms:created>
  <dcterms:modified xsi:type="dcterms:W3CDTF">2026-08-22T08:42:24Z</dcterms:modified>
  <cp:lastModifiedBy>kausthu raj</cp:lastModifiedBy>
</cp:coreProperties>
</file>