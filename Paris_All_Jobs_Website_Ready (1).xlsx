
<file path=[Content_Types].xml><?xml version="1.0" encoding="utf-8"?>
<Types xmlns="http://schemas.openxmlformats.org/package/2006/content-types">
  <Default Extension="ai" ContentType="image/png"/>
  <Default Extension="co" ContentType="image/png"/>
  <Default Extension="com" ContentType="image/png"/>
  <Default Extension="eu" ContentType="image/png"/>
  <Default Extension="fr" ContentType="image/png"/>
  <Default Extension="io" ContentType="image/png"/>
  <Default Extension="jpeg" ContentType="image/jpeg"/>
  <Default Extension="me" ContentType="image/png"/>
  <Default Extension="png" ContentType="image/png"/>
  <Default Extension="rels" ContentType="application/vnd.openxmlformats-package.relationships+xml"/>
  <Default Extension="tt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media/image12.fr" ContentType="image/jpeg"/>
  <Override PartName="/xl/media/image19.com" ContentType="image/jpeg"/>
  <Override PartName="/xl/media/image26.ai" ContentType="image/jpeg"/>
  <Override PartName="/xl/media/image31.fr" ContentType="image/jpeg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aust\Downloads\paris-startup-map\"/>
    </mc:Choice>
  </mc:AlternateContent>
  <xr:revisionPtr revIDLastSave="0" documentId="13_ncr:1_{8C4A1832-348D-4F12-9152-AFDA32B6F39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EADME" sheetId="1" r:id="rId1"/>
    <sheet name="Internships" sheetId="2" r:id="rId2"/>
    <sheet name="Full-time" sheetId="3" r:id="rId3"/>
    <sheet name="Part-time" sheetId="4" r:id="rId4"/>
    <sheet name="All Jobs" sheetId="5" r:id="rId5"/>
    <sheet name="Research Sources" sheetId="6" r:id="rId6"/>
    <sheet name="Filter Options" sheetId="7" r:id="rId7"/>
  </sheets>
  <definedNames>
    <definedName name="_xlnm._FilterDatabase" localSheetId="4" hidden="1">'All Jobs'!$A$1:$N$132</definedName>
    <definedName name="_xlnm._FilterDatabase" localSheetId="2" hidden="1">'Full-time'!$A$1:$N$21</definedName>
    <definedName name="_xlnm._FilterDatabase" localSheetId="1" hidden="1">Internships!$A$1:$N$30</definedName>
    <definedName name="_xlnm._FilterDatabase" localSheetId="3" hidden="1">'Part-time'!$A$1:$N$83</definedName>
    <definedName name="_xlnm._FilterDatabase" localSheetId="0" hidden="1">README!$A$1:$B$7</definedName>
    <definedName name="_xlnm._FilterDatabase" localSheetId="5" hidden="1">'Research Sources'!$A$1:$E$82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3" l="1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2" i="3"/>
  <c r="A30" i="2"/>
  <c r="A27" i="2"/>
  <c r="A26" i="2"/>
  <c r="A25" i="2"/>
  <c r="A23" i="2"/>
  <c r="A22" i="2"/>
  <c r="A21" i="2"/>
  <c r="A20" i="2"/>
  <c r="A19" i="2"/>
  <c r="A16" i="2"/>
  <c r="A15" i="2"/>
  <c r="A12" i="2"/>
  <c r="A11" i="2"/>
  <c r="A10" i="2"/>
  <c r="A9" i="2"/>
  <c r="A8" i="2"/>
  <c r="A7" i="2"/>
  <c r="A6" i="2"/>
  <c r="A5" i="2"/>
  <c r="A4" i="2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58" i="4"/>
  <c r="A47" i="4"/>
  <c r="A46" i="4"/>
  <c r="A45" i="4"/>
  <c r="A44" i="4"/>
  <c r="A43" i="4"/>
  <c r="A42" i="4"/>
  <c r="A41" i="4"/>
  <c r="A40" i="4"/>
  <c r="A39" i="4"/>
  <c r="A31" i="4"/>
  <c r="A32" i="4"/>
  <c r="A28" i="4"/>
  <c r="A29" i="4"/>
  <c r="A30" i="4"/>
  <c r="A25" i="4"/>
  <c r="A26" i="4"/>
  <c r="A27" i="4"/>
  <c r="A20" i="4"/>
  <c r="A21" i="4"/>
  <c r="A22" i="4"/>
  <c r="A23" i="4"/>
  <c r="A24" i="4"/>
  <c r="A13" i="4"/>
  <c r="A14" i="4"/>
  <c r="A15" i="4"/>
  <c r="A16" i="4"/>
  <c r="A17" i="4"/>
  <c r="A18" i="4"/>
  <c r="A19" i="4"/>
  <c r="A12" i="4"/>
  <c r="A11" i="4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</futureMetadata>
  <valueMetadata count="5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</valueMetadata>
</metadata>
</file>

<file path=xl/sharedStrings.xml><?xml version="1.0" encoding="utf-8"?>
<sst xmlns="http://schemas.openxmlformats.org/spreadsheetml/2006/main" count="3621" uniqueCount="523">
  <si>
    <t>Scope</t>
  </si>
  <si>
    <t>Details</t>
  </si>
  <si>
    <t>Paris + Greater Paris job database covering full-time, internship and part-time/student opportunities.</t>
  </si>
  <si>
    <t>Research date</t>
  </si>
  <si>
    <t>21 August 2026</t>
  </si>
  <si>
    <t>Reference structure</t>
  </si>
  <si>
    <t>Same 14-column structure as the current website dataset.</t>
  </si>
  <si>
    <t>Location handling</t>
  </si>
  <si>
    <t>Each supplied location is retained as a separate row, including multiple locations for the same company or chain.</t>
  </si>
  <si>
    <t>Hiring status</t>
  </si>
  <si>
    <t>Statuses are retained from the supplied research and should be rechecked because vacancies can close or change.</t>
  </si>
  <si>
    <t>Application links</t>
  </si>
  <si>
    <t>Application/evidence links are retained from the supplied dataset.</t>
  </si>
  <si>
    <t>Logo</t>
  </si>
  <si>
    <t>Company</t>
  </si>
  <si>
    <t>Type</t>
  </si>
  <si>
    <t>Area</t>
  </si>
  <si>
    <t>Stage</t>
  </si>
  <si>
    <t>Sector</t>
  </si>
  <si>
    <t>Internship Roles</t>
  </si>
  <si>
    <t>Location</t>
  </si>
  <si>
    <t>Hiring Status</t>
  </si>
  <si>
    <t>Application Link</t>
  </si>
  <si>
    <t>Company Website</t>
  </si>
  <si>
    <t>Logo Type</t>
  </si>
  <si>
    <t>Research Date</t>
  </si>
  <si>
    <t>Notes</t>
  </si>
  <si>
    <t>Alan</t>
  </si>
  <si>
    <t>Internship</t>
  </si>
  <si>
    <t>Paris</t>
  </si>
  <si>
    <t>Not specified</t>
  </si>
  <si>
    <t>Healthtech / Insurtech</t>
  </si>
  <si>
    <t>Software Engineering Intern</t>
  </si>
  <si>
    <t>117 Quai de Valmy, 75010 Paris, France</t>
  </si>
  <si>
    <t>🟢 Current hiring signal found</t>
  </si>
  <si>
    <t>https://jobs.ashbyhq.com/alan/7f88aabb-e05f-4f50-89ce-c33ea3ee02df/</t>
  </si>
  <si>
    <t>https://alan.com/careers</t>
  </si>
  <si>
    <t>Favicon / company logo</t>
  </si>
  <si>
    <t>French: French not required; English-friendly | English: Required / useful / role-dependent | Student friendly: Yes | Embedded logo asset. Re-check the live job page before applying; vacancies can close or change.</t>
  </si>
  <si>
    <t>Back Market</t>
  </si>
  <si>
    <t>Internship / Apprenticeship</t>
  </si>
  <si>
    <t>E-commerce / Circular Tech</t>
  </si>
  <si>
    <t>Backend Engineer Apprentice / internship pathway</t>
  </si>
  <si>
    <t>199 Rue Championnet, 75018 Paris, France</t>
  </si>
  <si>
    <t>https://jobs.ashbyhq.com/backmarket/fcd2db82-bd03-46aa-929e-ffb4fd94527f</t>
  </si>
  <si>
    <t>https://jobs.ashbyhq.com/backmarket</t>
  </si>
  <si>
    <t>French: Role-dependent | English: Not specified | Student friendly: Yes | Embedded brand mark. Re-check the live job page before applying; vacancies can close or change.</t>
  </si>
  <si>
    <t>Pigment</t>
  </si>
  <si>
    <t>SaaS</t>
  </si>
  <si>
    <t>Business Development / Growth Marketing Intern</t>
  </si>
  <si>
    <t>12 Rue Sainte-Cécile, 75009 Paris, France</t>
  </si>
  <si>
    <t>https://jobs.lever.co/pigment</t>
  </si>
  <si>
    <t>https://www.pigment.com/careers</t>
  </si>
  <si>
    <t>French: English-first / role-dependent | English: Required / useful / role-dependent | Student friendly: Yes | Embedded brand mark. Re-check the live job page before applying; vacancies can close or change.</t>
  </si>
  <si>
    <t>Qonto</t>
  </si>
  <si>
    <t>Fintech</t>
  </si>
  <si>
    <t>Talent / Product Marketing internships</t>
  </si>
  <si>
    <t>18 Rue de Navarin, 75009 Paris, France</t>
  </si>
  <si>
    <t>https://jobs.lever.co/qonto?commitment=Internship</t>
  </si>
  <si>
    <t>https://qonto.com/en/careers</t>
  </si>
  <si>
    <t>Malt</t>
  </si>
  <si>
    <t>SaaS / Future of Work</t>
  </si>
  <si>
    <t>Account Management / Analytics internships</t>
  </si>
  <si>
    <t>18 Rue Godot de Mauroy, 75009 Paris, France</t>
  </si>
  <si>
    <t>https://jobs.lever.co/malt?commitment=FR%20Intern</t>
  </si>
  <si>
    <t>https://www.malt.com/careers</t>
  </si>
  <si>
    <t>French: Role-dependent | English: Not specified | Student friendly: Yes | Embedded logo asset. Re-check the live job page before applying; vacancies can close or change.</t>
  </si>
  <si>
    <t>Skello</t>
  </si>
  <si>
    <t>Paris 3e</t>
  </si>
  <si>
    <t>HR Tech / SaaS</t>
  </si>
  <si>
    <t>Growth Marketing Intern</t>
  </si>
  <si>
    <t>69 Rue Beaubourg, 75003 Paris, France</t>
  </si>
  <si>
    <t>https://app.welcometothejungle.com/jobs/30v_UCe_</t>
  </si>
  <si>
    <t>https://www.skello.io/</t>
  </si>
  <si>
    <t>French: French likely for France-facing work | English: Not specified | Student friendly: Yes | Embedded brand mark. Re-check the live job page before applying; vacancies can close or change.</t>
  </si>
  <si>
    <t>Aircall</t>
  </si>
  <si>
    <t>Paris 9e</t>
  </si>
  <si>
    <t>SaaS / Communications</t>
  </si>
  <si>
    <t>Sales Intern – French Market</t>
  </si>
  <si>
    <t>11 Rue Saint-Georges, 75009 Paris, France</t>
  </si>
  <si>
    <t>https://app.welcometothejungle.com/jobs/pziptkOd</t>
  </si>
  <si>
    <t>https://aircall.io/careers/</t>
  </si>
  <si>
    <t>French: French required for France-facing role; English useful | English: Required / useful / role-dependent | Student friendly: Yes | Embedded logo asset. Re-check the live job page before applying; vacancies can close or change.</t>
  </si>
  <si>
    <t>Voodoo</t>
  </si>
  <si>
    <t>Gaming / Mobile</t>
  </si>
  <si>
    <t>Legal / Growth Monetization internships</t>
  </si>
  <si>
    <t>20 Rue de Charonne, 75011 Paris, France</t>
  </si>
  <si>
    <t>https://app.welcometothejungle.com/jobs/zjdEzaXo</t>
  </si>
  <si>
    <t>https://voodoo.io/careers</t>
  </si>
  <si>
    <t>French: Role-dependent; English common | English: Required / useful / role-dependent | Student friendly: Yes | Embedded logo asset. Re-check the live job page before applying; vacancies can close or change.</t>
  </si>
  <si>
    <t>Quandela</t>
  </si>
  <si>
    <t>Massy</t>
  </si>
  <si>
    <t>Quantum / Deeptech</t>
  </si>
  <si>
    <t>HR / Business / Marketing internship</t>
  </si>
  <si>
    <t>7 Rue Léonard de Vinci, 91300 Massy, France</t>
  </si>
  <si>
    <t>https://app.welcometothejungle.com/jobs/Iqqq3Huo</t>
  </si>
  <si>
    <t>https://www.quandela.com/</t>
  </si>
  <si>
    <t>Daisy</t>
  </si>
  <si>
    <t>Paris 1e</t>
  </si>
  <si>
    <t>SaaS / Automation</t>
  </si>
  <si>
    <t>Product Builder / No-code internship</t>
  </si>
  <si>
    <t>99 Rue du Bac, 75007 Paris, France</t>
  </si>
  <si>
    <t>https://www.welcometothejungle.com/fr/companies/daisy/jobs/stage-no-code-automatisation-fin-d-etudes-make-api-saas_paris</t>
  </si>
  <si>
    <t>https://www.daisyapp.fr/</t>
  </si>
  <si>
    <t>French: French likely / role-dependent | English: Not specified | Student friendly: Yes | Embedded logo asset. Re-check the live job page before applying; vacancies can close or change.</t>
  </si>
  <si>
    <t>Roundtable</t>
  </si>
  <si>
    <t>Paris 2e</t>
  </si>
  <si>
    <t>Fintech / Private Markets</t>
  </si>
  <si>
    <t>Growth Intern</t>
  </si>
  <si>
    <t>60 Rue François 1er, 75008 Paris, France</t>
  </si>
  <si>
    <t>https://www.welcometothejungle.com/fr/companies/roundtable/jobs/growth-intern_paris</t>
  </si>
  <si>
    <t>https://roundtable.eu/</t>
  </si>
  <si>
    <t>French: English-first / not specified | English: Required / useful / role-dependent | Student friendly: Yes | Embedded logo asset. Re-check the live job page before applying; vacancies can close or change.</t>
  </si>
  <si>
    <t>Rollee</t>
  </si>
  <si>
    <t>Paris 8e</t>
  </si>
  <si>
    <t>Fintech / Employment Data</t>
  </si>
  <si>
    <t>Product &amp; Brand Designer Intern</t>
  </si>
  <si>
    <t>25 Rue de Ponthieu, 75008 Paris, France</t>
  </si>
  <si>
    <t>https://app.welcometothejungle.com/jobs/Y7Hz8eaQ</t>
  </si>
  <si>
    <t>https://www.rollee.io/</t>
  </si>
  <si>
    <t>French: English likely; role-dependent | English: Required / useful / role-dependent | Student friendly: Yes | Embedded brand mark. Re-check the live job page before applying; vacancies can close or change.</t>
  </si>
  <si>
    <t>Deepomatic</t>
  </si>
  <si>
    <t>AI / Computer Vision</t>
  </si>
  <si>
    <t>Solutions Architect Intern</t>
  </si>
  <si>
    <t>53 Rue de Turbigo, 75003 Paris, France</t>
  </si>
  <si>
    <t>https://app.welcometothejungle.com/jobs/-gN5RXKs/company</t>
  </si>
  <si>
    <t>https://deepomatic.com/</t>
  </si>
  <si>
    <t>Wakeo</t>
  </si>
  <si>
    <t>Supply Chain SaaS</t>
  </si>
  <si>
    <t>Sales Lead Generation Intern</t>
  </si>
  <si>
    <t>6 Rue Auber, 75009 Paris, France</t>
  </si>
  <si>
    <t>https://app.welcometothejungle.com/jobs/ijcz3uZS/company</t>
  </si>
  <si>
    <t>https://wakeo.co/</t>
  </si>
  <si>
    <t>French: French likely; English useful | English: Required / useful / role-dependent | Student friendly: Yes | Embedded logo asset. Re-check the live job page before applying; vacancies can close or change.</t>
  </si>
  <si>
    <t>ZEPLUG</t>
  </si>
  <si>
    <t>EV Charging / Climate Tech</t>
  </si>
  <si>
    <t>Automation &amp; Innovation Intern</t>
  </si>
  <si>
    <t>10 Rue du Faubourg Montmartre, 75009 Paris, France</t>
  </si>
  <si>
    <t>https://www.welcometothejungle.com/fr/companies/zeplug/jobs/stage-automatisation-et-innovation_paris</t>
  </si>
  <si>
    <t>https://www.zeplug.com/</t>
  </si>
  <si>
    <t>French: French likely | English: Not specified | Student friendly: Yes | Embedded brand mark. Re-check the live job page before applying; vacancies can close or change.</t>
  </si>
  <si>
    <t>Neosilver</t>
  </si>
  <si>
    <t>Paris 12e</t>
  </si>
  <si>
    <t>Health / SocialTech</t>
  </si>
  <si>
    <t>Commercial / Partnerships Internships</t>
  </si>
  <si>
    <t>61 Rue de Lyon, 75012 Paris, France</t>
  </si>
  <si>
    <t>https://www.welcometothejungle.com/en/companies/neosilver/jobs/stage-commercial-e-marches-publics-aap-ao_paris</t>
  </si>
  <si>
    <t>https://neosilver.fr/</t>
  </si>
  <si>
    <t>French: French likely | English: Not specified | Student friendly: Yes | Embedded logo asset. Re-check the live job page before applying; vacancies can close or change.</t>
  </si>
  <si>
    <t>Estuaire</t>
  </si>
  <si>
    <t>Climate / Aerospace</t>
  </si>
  <si>
    <t>Founders Associate / Aerospace Data Science</t>
  </si>
  <si>
    <t>10 Rue Réaumur, 75003 Paris, France</t>
  </si>
  <si>
    <t>https://www.welcometothejungle.com/en/companies/estuaire/jobs/founders-associate-internship-or-apprenticeship_paris</t>
  </si>
  <si>
    <t>https://www.estuaire.tech/</t>
  </si>
  <si>
    <t>French: English-friendly / role-dependent | English: Required / useful / role-dependent | Student friendly: Yes | Embedded logo asset. Re-check the live job page before applying; vacancies can close or change.</t>
  </si>
  <si>
    <t>Blissim</t>
  </si>
  <si>
    <t>Beauty / E-commerce</t>
  </si>
  <si>
    <t>Supply Chain &amp; Data Engineering Intern</t>
  </si>
  <si>
    <t>10 Rue du Faubourg-Montmartre, 75009 Paris, France</t>
  </si>
  <si>
    <t>https://www.welcometothejungle.com/fr/companies/blissim/jobs/stage-ingenieur-data-amelioration-continue_paris</t>
  </si>
  <si>
    <t>https://blissim.fr/</t>
  </si>
  <si>
    <t>Doctolib</t>
  </si>
  <si>
    <t>Levallois-Perret</t>
  </si>
  <si>
    <t>Healthtech</t>
  </si>
  <si>
    <t>Consolidation &amp; Financial Control Internship</t>
  </si>
  <si>
    <t>54 Quai Charles Pasqua, 92300 Levallois-Perret, France</t>
  </si>
  <si>
    <t>https://www.welcometothejungle.com/fr/companies/doctolib/jobs/stage-consolidation-et-controle-financier-x-f-m-septembre-2026_paris</t>
  </si>
  <si>
    <t>https://careers.doctolib.fr/</t>
  </si>
  <si>
    <t>French: French + English role-dependent | English: Required / useful / role-dependent | Student friendly: Yes | Embedded logo asset. Re-check the live job page before applying; vacancies can close or change.</t>
  </si>
  <si>
    <t>Garantme</t>
  </si>
  <si>
    <t>Fintech / Insurtech</t>
  </si>
  <si>
    <t>Business Development &amp; Sales Intern</t>
  </si>
  <si>
    <t>9 Rue des Colonnes, 75002 Paris, France</t>
  </si>
  <si>
    <t>https://www.welcometothejungle.com/fr/companies/garantme-1/jobs/business-development-and-sales-stage-6-mois-debut-septembre-2026_paris</t>
  </si>
  <si>
    <t>https://garantme.fr/</t>
  </si>
  <si>
    <t>French: French likely for sales; English useful | English: Required / useful / role-dependent | Student friendly: Yes | Embedded logo asset. Re-check the live job page before applying; vacancies can close or change.</t>
  </si>
  <si>
    <t>TABOBINE</t>
  </si>
  <si>
    <t>Innovation / Hardware</t>
  </si>
  <si>
    <t>Innovation Engineer Intern</t>
  </si>
  <si>
    <t>La Fête, 3 Place de Clichy, 75008 Paris, France</t>
  </si>
  <si>
    <t>https://www.welcometothejungle.com/fr/companies/tabobine/jobs/stage-ingenieur-e-innovation_paris_TABOB_Rlr7lgy</t>
  </si>
  <si>
    <t>https://tabobine.com/</t>
  </si>
  <si>
    <t>Proton</t>
  </si>
  <si>
    <t>Cybersecurity / Privacy</t>
  </si>
  <si>
    <t>iOS Software Engineer Intern</t>
  </si>
  <si>
    <t>1 Parv. de la Défense, 92800 Puteaux, France</t>
  </si>
  <si>
    <t>https://app.welcometothejungle.com/jobs/ZOukbc16</t>
  </si>
  <si>
    <t>https://proton.me/careers</t>
  </si>
  <si>
    <t>OneFlash</t>
  </si>
  <si>
    <t>Aulnay-sous-Bois / Greater Paris</t>
  </si>
  <si>
    <t>Mobility / SaaS</t>
  </si>
  <si>
    <t>International Development / Finance &amp; Operations</t>
  </si>
  <si>
    <t>7 Place de l'Hôtel de Ville, 93600 Aulnay-sous-Bois, France</t>
  </si>
  <si>
    <t>https://www.welcometothejungle.com/en/companies/oneflash/jobs/stage-international-development_paris</t>
  </si>
  <si>
    <t>https://oneflash.co/</t>
  </si>
  <si>
    <t>French: English/French role-dependent | English: Required / useful / role-dependent | Student friendly: Yes | Embedded logo asset. Re-check the live job page before applying; vacancies can close or change.</t>
  </si>
  <si>
    <t>Joko</t>
  </si>
  <si>
    <t>Fintech / Consumer</t>
  </si>
  <si>
    <t>Business Associate Intern – Card-Linked</t>
  </si>
  <si>
    <t>3 impasse de la Planchette, 75003 Paris, France</t>
  </si>
  <si>
    <t>https://jobs.ashbyhq.com/joko/6e4e15ea-7d8e-4a02-b175-f536c14c3974</t>
  </si>
  <si>
    <t>https://joko.com/</t>
  </si>
  <si>
    <t>French: French + English bilingual required | English: Required / useful / role-dependent | Student friendly: Yes | Embedded brand mark. Re-check the live job page before applying; vacancies can close or change.</t>
  </si>
  <si>
    <t>Singulier</t>
  </si>
  <si>
    <t>Consulting / Data / AI</t>
  </si>
  <si>
    <t>Data Analytics Intern</t>
  </si>
  <si>
    <t>20 rue Nicolo, 75016 Paris, France</t>
  </si>
  <si>
    <t>https://apply.workable.com/singulier/j/40E90AAB17</t>
  </si>
  <si>
    <t>https://singulier.co/</t>
  </si>
  <si>
    <t>French: English fluent; French strongly preferred | English: Required / useful / role-dependent | Student friendly: Yes | Embedded brand mark. Re-check the live job page before applying; vacancies can close or change.</t>
  </si>
  <si>
    <t>Front</t>
  </si>
  <si>
    <t>SaaS / Customer Communication</t>
  </si>
  <si>
    <t>35 Rue Greneta, 75002 Paris, France (6th floor)</t>
  </si>
  <si>
    <t>https://jobs.ashbyhq.com/frontcareers/1026a32c-f8cc-4eee-992b-bacdf771d9fc</t>
  </si>
  <si>
    <t>https://front.com/careers</t>
  </si>
  <si>
    <t>French: Full English proficiency; English-speaking company | English: Required / useful / role-dependent | Student friendly: Yes | Embedded brand mark. Re-check the live job page before applying; vacancies can close or change.</t>
  </si>
  <si>
    <t>Corma</t>
  </si>
  <si>
    <t>AI / SaaS</t>
  </si>
  <si>
    <t>Founders Associate Intern</t>
  </si>
  <si>
    <t>Station F: 5 Parvis Alan Turing, 75013 Paris</t>
  </si>
  <si>
    <t>https://jobs.stationf.co/companies/corma/jobs/founders-associate-internship-right-hand-to-the-ceo-january-2027_paris</t>
  </si>
  <si>
    <t>https://stationf.co/</t>
  </si>
  <si>
    <t>French: Professional French + English required | English: Required / useful / role-dependent | Student friendly: Yes | Embedded brand mark. Re-check the live job page before applying; vacancies can close or change.</t>
  </si>
  <si>
    <t>MatR</t>
  </si>
  <si>
    <t>Paris / Station F</t>
  </si>
  <si>
    <t>Data / SaaS</t>
  </si>
  <si>
    <t>Sales Development Representative Intern</t>
  </si>
  <si>
    <t>Station F, 5 Parvis Alan Turing, 75013 Paris, France</t>
  </si>
  <si>
    <t>https://jobs.stationf.co/companies/matr/jobs/sales-development-representative-internship-m-f-x-matr_paris</t>
  </si>
  <si>
    <t>French: French + English required for outreach | English: Required / useful / role-dependent | Student friendly: Yes | Embedded brand mark. Re-check the live job page before applying; vacancies can close or change.</t>
  </si>
  <si>
    <t>TikTok</t>
  </si>
  <si>
    <t>Social / E-commerce</t>
  </si>
  <si>
    <t>Account Manager Project Intern – TikTok Shop France</t>
  </si>
  <si>
    <t>21 Rue d'Uzès, 75002 Paris, France</t>
  </si>
  <si>
    <t>https://lifeattiktok.com/search?keyword=TikTok%20Shop%20France</t>
  </si>
  <si>
    <t>https://www.tiktok.com/careers</t>
  </si>
  <si>
    <t>French: English required; Chinese required for selected role | English: Required / useful / role-dependent | Student friendly: Yes | Embedded brand mark. Re-check the live job page before applying; vacancies can close or change.</t>
  </si>
  <si>
    <t>Mistral AI</t>
  </si>
  <si>
    <t>Full-time</t>
  </si>
  <si>
    <t>AI Engineer, Product</t>
  </si>
  <si>
    <t>15 Rue des Renaudes, 75017 Paris, France</t>
  </si>
  <si>
    <t>https://jobs.ashbyhq.com/mistral.ai/50c74749-9fbc-471f-a647-f6cd22423ccf</t>
  </si>
  <si>
    <t>https://mistral.ai/careers/</t>
  </si>
  <si>
    <t>Marketing Operations</t>
  </si>
  <si>
    <t>https://jobs.ashbyhq.com/alan/c1910999-3e09-4d2e-8bac-e8a31eccd438</t>
  </si>
  <si>
    <t>French: English required; French role-dependent | English: Required / useful / role-dependent | Student friendly: No | Embedded logo asset. Re-check the live job page before applying; vacancies can close or change.</t>
  </si>
  <si>
    <t>Global Talent Scout</t>
  </si>
  <si>
    <t>https://jobs.ashbyhq.com/backmarket/0d996099-3de0-418a-87ff-cc0f4e32407e</t>
  </si>
  <si>
    <t>French: Role-dependent | English: Not specified | Student friendly: No | Embedded brand mark. Re-check the live job page before applying; vacancies can close or change.</t>
  </si>
  <si>
    <t>Upflow</t>
  </si>
  <si>
    <t>Fintech / SaaS</t>
  </si>
  <si>
    <t>Account Executive – EMEA, English Speaking</t>
  </si>
  <si>
    <t>64-66 Rue des Archives, 75003 Paris, France</t>
  </si>
  <si>
    <t>https://jobs.ashbyhq.com/upflow/d25957b8-1838-4d2f-b567-9d569289fb68</t>
  </si>
  <si>
    <t>https://upflow.io/careers</t>
  </si>
  <si>
    <t>French: English required; French not required for selected role | English: Required / useful / role-dependent | Student friendly: No | Embedded brand mark. Re-check the live job page before applying; vacancies can close or change.</t>
  </si>
  <si>
    <t>Inato</t>
  </si>
  <si>
    <t>Paris / Remote France</t>
  </si>
  <si>
    <t>Healthtech / Clinical Research</t>
  </si>
  <si>
    <t>Senior Analytics Engineer, Product</t>
  </si>
  <si>
    <t>14 Bd Montmartre, 75009 Paris, France</t>
  </si>
  <si>
    <t>https://jobs.ashbyhq.com/inato/26983f36-ea51-4c6c-9779-6384171427bf</t>
  </si>
  <si>
    <t>https://inato.com/careers</t>
  </si>
  <si>
    <t>French: English / role-dependent | English: Required / useful / role-dependent | Student friendly: No | Embedded brand mark. Re-check the live job page before applying; vacancies can close or change.</t>
  </si>
  <si>
    <t>Dust</t>
  </si>
  <si>
    <t>Senior AI Support Engineer</t>
  </si>
  <si>
    <t>86 Avenue de Wagram, 75017 Paris, France</t>
  </si>
  <si>
    <t>https://jobs.ashbyhq.com/dust/31640a53-7c85-416b-9c95-610445a55e81</t>
  </si>
  <si>
    <t>https://dust.tt/careers</t>
  </si>
  <si>
    <t>French: English-first / role-dependent | English: Required / useful / role-dependent | Student friendly: No | Embedded brand mark. Re-check the live job page before applying; vacancies can close or change.</t>
  </si>
  <si>
    <t>amo / Bump</t>
  </si>
  <si>
    <t>Consumer Tech / Social</t>
  </si>
  <si>
    <t>India Content Specialist</t>
  </si>
  <si>
    <t>29 Boulevard desItaliens, 75002 Paris</t>
  </si>
  <si>
    <t>https://jobs.ashbyhq.com/amo/fe22e91f-f148-4502-97ef-9f26438625b3</t>
  </si>
  <si>
    <t>https://www.amo.co/careers</t>
  </si>
  <si>
    <t>French: English + market language | English: Required / useful / role-dependent | Student friendly: No | Embedded brand mark. Re-check the live job page before applying; vacancies can close or change.</t>
  </si>
  <si>
    <t>Alta Ares</t>
  </si>
  <si>
    <t>AI / Deeptech</t>
  </si>
  <si>
    <t>Talent Acquisition Specialist</t>
  </si>
  <si>
    <t>8 rue de Lévis, 75017 Paris, France</t>
  </si>
  <si>
    <t>https://jobs.ashbyhq.com/alta-ares/5f198806-3f6b-435d-8538-a0e158d17c29</t>
  </si>
  <si>
    <t>https://www.altaares.com/</t>
  </si>
  <si>
    <t>French: English / French role-dependent | English: Required / useful / role-dependent | Student friendly: No | Embedded brand mark. Re-check the live job page before applying; vacancies can close or change.</t>
  </si>
  <si>
    <t>Pivot</t>
  </si>
  <si>
    <t>AI / Procurement SaaS</t>
  </si>
  <si>
    <t>Spontaneous application / upcoming roles</t>
  </si>
  <si>
    <t>144 Avenue Charles de Gaulle, 92200 Neuilly-sur-Seine</t>
  </si>
  <si>
    <t>https://jobs.ashbyhq.com/Pivot/fc07565f-d1ac-498e-b920-e9d3e22c1e2c/</t>
  </si>
  <si>
    <t>https://www.pivotapp.ai/careers</t>
  </si>
  <si>
    <t>Product / Sales / Operations roles</t>
  </si>
  <si>
    <t>https://jobs.lever.co/qonto</t>
  </si>
  <si>
    <t>French: Role-dependent; English used widely | English: Required / useful / role-dependent | Student friendly: No | Embedded brand mark. Re-check the live job page before applying; vacancies can close or change.</t>
  </si>
  <si>
    <t>BlaBlaCar</t>
  </si>
  <si>
    <t>Mobility</t>
  </si>
  <si>
    <t>Marketing / Strategy / Product roles</t>
  </si>
  <si>
    <t>84 Avenue de la République, 75011 Paris, France</t>
  </si>
  <si>
    <t>https://jobs.lever.co/blablacar</t>
  </si>
  <si>
    <t>https://jobs.blablacar.com/</t>
  </si>
  <si>
    <t>French: French or English depending on team | English: Required / useful / role-dependent | Student friendly: No | Embedded brand mark. Re-check the live job page before applying; vacancies can close or change.</t>
  </si>
  <si>
    <t>Account Management / Data / Security roles</t>
  </si>
  <si>
    <t>https://jobs.lever.co/malt</t>
  </si>
  <si>
    <t>French: Role-dependent | English: Not specified | Student friendly: No | Embedded logo asset. Re-check the live job page before applying; vacancies can close or change.</t>
  </si>
  <si>
    <t>Product / Finance / Tech roles</t>
  </si>
  <si>
    <t>French: French + English role-dependent | English: Required / useful / role-dependent | Student friendly: No | Embedded logo asset. Re-check the live job page before applying; vacancies can close or change.</t>
  </si>
  <si>
    <t>Sales / Engineering / Customer roles</t>
  </si>
  <si>
    <t>French: English; French for France-facing roles | English: Required / useful / role-dependent | Student friendly: No | Embedded logo asset. Re-check the live job page before applying; vacancies can close or change.</t>
  </si>
  <si>
    <t>SaaS / Planning</t>
  </si>
  <si>
    <t>Sales / Growth / Product roles</t>
  </si>
  <si>
    <t>Product / Growth / Tech roles</t>
  </si>
  <si>
    <t>French: English-first / role-dependent | English: Required / useful / role-dependent | Student friendly: No | Embedded logo asset. Re-check the live job page before applying; vacancies can close or change.</t>
  </si>
  <si>
    <t>Software Engineering / Product roles</t>
  </si>
  <si>
    <t>https://jobs.ashbyhq.com/frontcareers</t>
  </si>
  <si>
    <t>French: English-first; company describes itself as English-speaking | English: Required / useful / role-dependent | Student friendly: No | Embedded brand mark. Re-check the live job page before applying; vacancies can close or change.</t>
  </si>
  <si>
    <t>Akur8</t>
  </si>
  <si>
    <t>Insurtech / AI</t>
  </si>
  <si>
    <t>Data / Actuarial / Product roles</t>
  </si>
  <si>
    <t>14 Rue d'Uzès, 75002 Paris, France</t>
  </si>
  <si>
    <t>https://www.akur8.com/careers</t>
  </si>
  <si>
    <t>French: English + French role-dependent | English: Required / useful / role-dependent | Student friendly: No | Embedded brand mark. Re-check the live job page before applying; vacancies can close or change.</t>
  </si>
  <si>
    <t>Sorare</t>
  </si>
  <si>
    <t>Sports / Gaming / Web3</t>
  </si>
  <si>
    <t>Marketing / Product / Tech roles</t>
  </si>
  <si>
    <t>10 Rue de la Paix, 75002 Paris, France</t>
  </si>
  <si>
    <t>https://jobs.ashbyhq.com/sorare</t>
  </si>
  <si>
    <t>https://sorare.com/careers</t>
  </si>
  <si>
    <t>Scaleway</t>
  </si>
  <si>
    <t>Cloud / Infrastructure</t>
  </si>
  <si>
    <t>Cloud / Engineering / Operations roles</t>
  </si>
  <si>
    <t>8 Rue de la Ville-l'Évêque, 75008 Paris, France</t>
  </si>
  <si>
    <t>https://www.scaleway.com/en/careers/</t>
  </si>
  <si>
    <t>French: English/French role-dependent | English: Required / useful / role-dependent | Student friendly: No | Embedded brand mark. Re-check the live job page before applying; vacancies can close or change.</t>
  </si>
  <si>
    <t>McDonald's</t>
  </si>
  <si>
    <t>Part-time / Student</t>
  </si>
  <si>
    <t>Paris 1e / Paris 19e / Paris 20e</t>
  </si>
  <si>
    <t>Quick Service Restaurant</t>
  </si>
  <si>
    <t>Employé Polyvalent</t>
  </si>
  <si>
    <t>11 Avenue de Wagram, 75017 Paris, France</t>
  </si>
  <si>
    <t>🟢 Currently hiring</t>
  </si>
  <si>
    <t>https://www.mcdonalds-recrute.fr/nos-restaurants/paris-wagram/</t>
  </si>
  <si>
    <t>https://prd-recrute.mcdonalds.fr/nous-rejoindre/etudiants/</t>
  </si>
  <si>
    <t>Location: Paris Wagram.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</si>
  <si>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192 Rue de la Convention, 75015 Paris, France</t>
  </si>
  <si>
    <t>https://www.mcdonalds-recrute.fr/nos-restaurants/paris-convention/</t>
  </si>
  <si>
    <t>Location: Paris Convention.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</si>
  <si>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2 Boulevard Poissonnière, 75009 Paris, France</t>
  </si>
  <si>
    <t>https://www.mcdonalds-recrute.fr/nos-restaurants/paris-bonne-nouvelle/</t>
  </si>
  <si>
    <t>Location: Paris Bonne Nouvelle. Official McDonald's restaurant page shows Employé Polyvalent vacancy. French: French likely for customer-facing work | English: Not specified | Student friendly: Yes | Embedded brand mark. Re-check the live job page before applying; vacancies can close or change.</t>
  </si>
  <si>
    <t>208 Avenue Jean Jaurès, 75019 Paris, France</t>
  </si>
  <si>
    <t>https://www.mcdonalds-recrute.fr/nos-restaurants/paris-porte-de-pantin/</t>
  </si>
  <si>
    <t>Location: Paris Porte de Pantin.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</si>
  <si>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353 Rue de Belleville, 75019 Paris, France</t>
  </si>
  <si>
    <t>https://www.mcdonalds-recrute.fr/nos-restaurants/paris-porte-des-lilas/</t>
  </si>
  <si>
    <t>Location: Paris Porte des Lilas.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</si>
  <si>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67 Boulevard Davout, 75020 Paris, France</t>
  </si>
  <si>
    <t>https://www.mcdonalds-recrute.fr/nos-restaurants/paris-porte-montreuil/</t>
  </si>
  <si>
    <t>Location: Paris Porte Montreuil.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</si>
  <si>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77 Boulevard Ornano, 75865 Paris CEDEX 18, France</t>
  </si>
  <si>
    <t>https://www.mcdonalds-recrute.fr/nos-restaurants/paris-clignancourt/</t>
  </si>
  <si>
    <t>Location: Paris Clignancourt.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</si>
  <si>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88 bis Rue Parmentier, 75011 Paris, France</t>
  </si>
  <si>
    <t>https://www.mcdonalds-recrute.fr/nos-restaurants/paris-parmentier/</t>
  </si>
  <si>
    <t>Location: Paris Parmentier.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</si>
  <si>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9–11 Avenue de Choisy, 75013 Paris, France</t>
  </si>
  <si>
    <t>https://www.mcdonalds-recrute.fr/nos-restaurants/paris-avenue-de-choisy/</t>
  </si>
  <si>
    <t>Location: Paris Avenue de Choisy. Official McDonald's restaurant page shows Employé Polyvalent vacancy; part-time/student scheduling supported. French: French likely for customer-facing work | English: Not specified | Student friendly: Yes | Embedded brand mark. Re-check the live job page before applying; vacancies can close or change.</t>
  </si>
  <si>
    <t>Five Guys</t>
  </si>
  <si>
    <t>Part-time / CDI</t>
  </si>
  <si>
    <t>Paris 1er / Paris 9e / Paris 12e</t>
  </si>
  <si>
    <t>Equipier Polyvalent</t>
  </si>
  <si>
    <t>2 Boulevard Haussmann, 75009 Paris, France</t>
  </si>
  <si>
    <t>https://recrutement.fiveguys.fr/jobs?split_view=true</t>
  </si>
  <si>
    <t>https://recrutement.fiveguys.fr/</t>
  </si>
  <si>
    <t>Location: Paris 9ème – Haussmann. Official Five Guys careers page currently lists Équipier Polyvalent H/F — Paris 9ème, Haussmann. French: French read/write/speak indispensable | English: Not specified | Student friendly: Yes | Embedded brand mark. Re-check the live job page before applying; vacancies can close or change.</t>
  </si>
  <si>
    <t>Burger King</t>
  </si>
  <si>
    <t>Paris / Greater Paris</t>
  </si>
  <si>
    <t>Équipier•ère</t>
  </si>
  <si>
    <t>Paris 10th arrondissement (Gare de l'Est) : 93 Boulevard de Strasbourg, 75010 Paris</t>
  </si>
  <si>
    <t>🟡 Company recruits part-time; exact current location not verified</t>
  </si>
  <si>
    <t>https://emploi.burgerking.fr/nos-metiers/equipier/</t>
  </si>
  <si>
    <t>https://emploi.burgerking.fr/</t>
  </si>
  <si>
    <t>French: French likely for customer service | English: Not specified | Student friendly: Yes | Embedded brand mark. Re-check the live job page before applying; vacancies can close or change.</t>
  </si>
  <si>
    <t>Paris 10th arrondissement (Gare du Nord) : 25 Rue de Dunkerque, 75010 Paris</t>
  </si>
  <si>
    <t>Paris 11th arrondissement (Bastille) : 20 Rue de la Roquette, 75011 Paris</t>
  </si>
  <si>
    <t>Paris 12th arrondissement (Daumesnil) : 279 Avenue Daumesnil, 75012 Paris</t>
  </si>
  <si>
    <t>Paris 12th arrondissement (Nation) : 4 Avenue du Trône, 75012 Paris</t>
  </si>
  <si>
    <t>Paris 13th arrondissement (Bercy) : 1 Rue George Balanchine, 75013 Paris</t>
  </si>
  <si>
    <t>Paris 13th arrondissement (François Mitterrand Library) : 79-81 Quai de la Gare, 75013 Paris</t>
  </si>
  <si>
    <t>Paris 14e (Alésia) : 78-80 Avenue du Général Leclerc, 75014 Paris</t>
  </si>
  <si>
    <t>Paris 14e (Montparnasse) : 84 Boulevard du Montparnasse, 75014 Paris</t>
  </si>
  <si>
    <t>Paris 15e (Beaugrenelle) : 7 Rue Linois (Immeuble Panoramic), 75015 Paris</t>
  </si>
  <si>
    <t>Paris 15e (Vaugirard) : 286 Rue de Vaugirard, 75015 Paris</t>
  </si>
  <si>
    <t>Paris 16e (Radio France) : 18 Avenue du Président Kennedy, 75016 Paris</t>
  </si>
  <si>
    <t>Paris 17e (Place des Ternes) : 16 Rue de Tilsitt, 75017 Paris</t>
  </si>
  <si>
    <t>Paris 17e (Porte de Clichy) : 187 Avenue de Clichy, 75017 Paris</t>
  </si>
  <si>
    <t>Paris 18e (Barbès) : 3 Boulevard Barbès, 75018 Paris</t>
  </si>
  <si>
    <t>Paris 1st arrondissement (Les Halles) : 2 Rue Pierre Lescot, 75001 Paris</t>
  </si>
  <si>
    <t>Paris 3rd arrondissement (République) : 23 Place de la République, 75003 Paris</t>
  </si>
  <si>
    <t>Paris 5e (Saint-Michel) : 63 Boulevard Saint-Michel, 75005 Paris</t>
  </si>
  <si>
    <t>Paris 8th arrondissement (Champs-Élysées) : 124 Rue La Boétie, 75008 Paris</t>
  </si>
  <si>
    <t>Paris 9th arrondissement (Opéra) : 36 Boulevard des Italiens, 75009 Paris</t>
  </si>
  <si>
    <t>Paris 9th arrondissement (Saint-Lazare Station) : Station exterior, 2 Rue d'Amsterdam, 75009 Paris</t>
  </si>
  <si>
    <t>KFC</t>
  </si>
  <si>
    <t>102 Terrasse Boieldieu, 92800 Puteaux, France</t>
  </si>
  <si>
    <t>https://fr.indeed.com/q-kfc-le-week-end-l-paris-%2875%29-emplois.html</t>
  </si>
  <si>
    <t>https://www.kfc.fr/</t>
  </si>
  <si>
    <t>Location: Puteaux – La Défense. Current/recent listing: CDI, temps partiel, Équipier Polyvalent H/F. French: French likely for customer-facing work | English: Not specified | Student friendly: Yes | Embedded brand mark. Re-check the live job page before applying; vacancies can close or change.</t>
  </si>
  <si>
    <t>117 Rue Saint-Lazare, 75008 Paris, France</t>
  </si>
  <si>
    <t>https://fr.indeed.com/q-kfc-%C3%89quipier-polyvalent-l-paris-%2875%29-emplois.html</t>
  </si>
  <si>
    <t>Location: Paris 8e – Saint-Lazare. Current listing: CDI, temps partiel, Employé polyvalent H/F. French: French likely for customer-facing work | English: Not specified | Student friendly: Yes | Embedded brand mark. Re-check the live job page before applying; vacancies can close or change.</t>
  </si>
  <si>
    <t>16 Boulevard de Clichy, 75018 Paris, France</t>
  </si>
  <si>
    <t>https://fr.indeed.com/q-kfc-l-paris-9e-%2875%29-emplois.html</t>
  </si>
  <si>
    <t>Location: Paris 18e – Clichy. Current/recent listing: CDI, temps partiel, Employé polyvalent H/F. French: French likely for customer-facing work | English: Not specified | Student friendly: Yes | Embedded brand mark. Re-check the live job page before applying; vacancies can close or change.</t>
  </si>
  <si>
    <t>76 Avenue d'Italie, 75013 Paris, France</t>
  </si>
  <si>
    <t>https://fr.indeed.com/emplois?jlid=38ec80440089288&amp;q=equipier+polyvalent+en+temps+partiel+postes&amp;rbl=Paris+%2875%29</t>
  </si>
  <si>
    <t>Location: Paris 13e – Italie. Current listing: CDI, temps partiel, Équipier Polyvalent H/F. French: French likely for customer-facing work | English: Not specified | Student friendly: Yes | Embedded brand mark. Re-check the live job page before applying; vacancies can close or change.</t>
  </si>
  <si>
    <t>94000 Créteil, France</t>
  </si>
  <si>
    <t>Location: Créteil. Current listing: CDI, temps partiel, Équipier Polyvalent H/F; exact street address not exposed in the search result. French: French likely for customer-facing work | English: Not specified | Student friendly: Yes | Embedded brand mark. Re-check the live job page before applying; vacancies can close or change.</t>
  </si>
  <si>
    <t>94120 Fontenay-sous-Bois, France</t>
  </si>
  <si>
    <t>Location: Fontenay-sous-Bois. Current listing: CDI, temps partiel, Employé polyvalent H/F; exact street address not exposed in the search result. French: French likely for customer-facing work | English: Not specified | Student friendly: Yes | Embedded brand mark. Re-check the live job page before applying; vacancies can close or change.</t>
  </si>
  <si>
    <t>Decathlon</t>
  </si>
  <si>
    <t>Paris 13e / 15e / 19e</t>
  </si>
  <si>
    <t>Retail / Sports</t>
  </si>
  <si>
    <t>Sales / Customer Service Advisor</t>
  </si>
  <si>
    <t>203 Boulevard Macdonald, 75019 Paris, France</t>
  </si>
  <si>
    <t>https://joinus.decathlon.fr/fr/annonce/3247217-vendeur-se-cdi-temps-partiel-a-partir-de-septembre-75019-paris?s_o=wttj</t>
  </si>
  <si>
    <t>https://joinus.decathlon.fr/</t>
  </si>
  <si>
    <t>Location: Rosa Parks. Current official Decathlon listing: vendeur.se CDI temps partiel from September; published 08/08/2026. French: French likely for store customer service | English: Not specified | Student friendly: Yes | Embedded brand mark. Re-check the live job page before applying; vacancies can close or change.</t>
  </si>
  <si>
    <t>4–6 Rue Louis Armand, 75015 Paris, France</t>
  </si>
  <si>
    <t>https://joinus.decathlon.fr/en/annonce/4547765-conseiller-ere-vente-omnicanal-hf-cdi-temps-partiel-75015-paris-15e-arrondissement</t>
  </si>
  <si>
    <t>Location: Aquaboulevard. Current official Decathlon listing: CDI, temps partiel; published 14/08/2026. French: French likely for store customer service | English: Not specified | Student friendly: Yes | Embedded brand mark. Re-check the live job page before applying; vacancies can close or change.</t>
  </si>
  <si>
    <t>Monoprix</t>
  </si>
  <si>
    <t>Paris 4e / 9e</t>
  </si>
  <si>
    <t>Retail / Grocery</t>
  </si>
  <si>
    <t>Student part-time cashier / store employee</t>
  </si>
  <si>
    <t>71 Rue Saint-Antoine, 75004 Paris, France</t>
  </si>
  <si>
    <t>https://fr.indeed.com/viewjob?jk=4a9bcf51dc510310</t>
  </si>
  <si>
    <t>https://recrutement.monoprix.fr/</t>
  </si>
  <si>
    <t>Carrefour</t>
  </si>
  <si>
    <t>Student commercial employee / cashier</t>
  </si>
  <si>
    <t>13 Résidence Martinval, 78240 Chambourcy, France</t>
  </si>
  <si>
    <t>https://fr.indeed.com/q-carrefour-job-%C3%89tudiant-l-paris-%2875%29-emplois.html</t>
  </si>
  <si>
    <t>https://recrute.carrefour.fr/</t>
  </si>
  <si>
    <t>Location: Chambourcy. Current listing: Employé commercial caisse, ideal student, CDI temps partiel. French: French likely | English: Not specified | Student friendly: Yes | Embedded brand mark. Re-check the live job page before applying; vacancies can close or change.</t>
  </si>
  <si>
    <t>280 Avenue Gabriel Péri, 78360 Montesson, France</t>
  </si>
  <si>
    <t>https://fr.indeed.com/q-carrefour-temps-partiel-l-paris-%2875%29-emplois.html</t>
  </si>
  <si>
    <t>Location: Montesson. Current listing: Employé commercial produits frais, ideal student, CDI temps partiel. French: French likely | English: Not specified | Student friendly: Yes | Embedded brand mark. Re-check the live job page before applying; vacancies can close or change.</t>
  </si>
  <si>
    <t>75004 Paris, France — exact street address not exposed in current listing</t>
  </si>
  <si>
    <t>https://fr.indeed.com/viewjob?jk=a8a19fc23ace8b18</t>
  </si>
  <si>
    <t>Location: Paris 4e – Carrefour Express. Current listing: student-only Employé Polyvalent, CDI temps partiel. French: French likely | English: Not specified | Student friendly: Yes | Embedded brand mark. Re-check the live job page before applying; vacancies can close or change.</t>
  </si>
  <si>
    <t>75006 Paris, France — exact street address not exposed in current listing</t>
  </si>
  <si>
    <t>https://fr.indeed.com/q-carrefour-%C3%89tudiant-l-cr%C3%A9teil-%2894%29-emplois.html</t>
  </si>
  <si>
    <t>Location: Paris 6e. Current listing: Employé commercial caisse, ideal student, CDI temps partiel. French: French likely | English: Not specified | Student friendly: Yes | Embedded brand mark. Re-check the live job page before applying; vacancies can close or change.</t>
  </si>
  <si>
    <t>85 Route de Provins, 94490 Ormesson-sur-Marne, France</t>
  </si>
  <si>
    <t>https://fr.indeed.com/q-%C3%89tudiant-carrefour-l-paris-%2875%29-emplois.html</t>
  </si>
  <si>
    <t>Location: Ormesson-sur-Marne. Current listing: Employé commercial caisse, ideal student, CDI temps partiel. French: French likely | English: Not specified | Student friendly: Yes | Embedded brand mark. Re-check the live job page before applying; vacancies can close or change.</t>
  </si>
  <si>
    <t>Route des Petits Ponts, 93270 Sevran, France</t>
  </si>
  <si>
    <t>https://fr.indeed.com/q-carrefour-%C3%89tudiant-l-paris-15e-%2875%29-emplois.html</t>
  </si>
  <si>
    <t>Location: Sevran. Current listing: Employé commercial caisse, ideal student, CDI temps partiel. French: French likely | English: Not specified | Student friendly: Yes | Embedded brand mark. Re-check the live job page before applying; vacancies can close or change.</t>
  </si>
  <si>
    <t>Franprix</t>
  </si>
  <si>
    <t>Store / cashier roles</t>
  </si>
  <si>
    <t>Champs-Élysées (8e): 230 Rue du Faubourg Saint-Honoré, 75008 Paris</t>
  </si>
  <si>
    <t>https://fr.indeed.com/Paris-%2875%29-Emplois-Monoprix%2C-Franprix%2C-Carrefour</t>
  </si>
  <si>
    <t>https://www.franprix.fr/</t>
  </si>
  <si>
    <t>Marais / Center (4e): 112 Rue Saint-Antoine, 75004 Paris</t>
  </si>
  <si>
    <t>Latin Quarter (5e): 86 Boulevard Saint-Michel, 75005 Paris</t>
  </si>
  <si>
    <t>Montparnasse (14e): 24 Rue de l'Arrivée, 75014 Paris</t>
  </si>
  <si>
    <t>Lidl</t>
  </si>
  <si>
    <t>210-212 Avenue du Maine, 75014 Paris</t>
  </si>
  <si>
    <t>https://jobs.lidl.fr/</t>
  </si>
  <si>
    <t>34 Rue de Reuilly, 75012 Paris</t>
  </si>
  <si>
    <t>Action</t>
  </si>
  <si>
    <t>Retail / Discount</t>
  </si>
  <si>
    <t>Store employee</t>
  </si>
  <si>
    <t>Bagnolet (93) — 45 openings</t>
  </si>
  <si>
    <t>https://www.action.jobs/fr-fr/</t>
  </si>
  <si>
    <t>Épinay-sur-Seine (93)</t>
  </si>
  <si>
    <t>Asnières-sur-Seine (92)</t>
  </si>
  <si>
    <t>Houilles (78)</t>
  </si>
  <si>
    <t>Starbucks</t>
  </si>
  <si>
    <t>Coffee / Food Service</t>
  </si>
  <si>
    <t>Barista / store team</t>
  </si>
  <si>
    <t>Paris 2nd (Capucines): Bd des Capucines, Paris</t>
  </si>
  <si>
    <t>https://www.starbucks.fr/recrutement</t>
  </si>
  <si>
    <t>French: French likely; English useful | English: Required / useful / role-dependent | Student friendly: Yes | Embedded brand mark. Re-check the live job page before applying; vacancies can close or change.</t>
  </si>
  <si>
    <t>Paris 1st (Opera): Avenue de l'Opéra, Paris</t>
  </si>
  <si>
    <t>Paris 1st (Ladder): Rue de l'Échelle, Paris</t>
  </si>
  <si>
    <t>Paris 15th (Gare Montparnasse): 17 Bd de Vaugirard, 75015 Paris</t>
  </si>
  <si>
    <t>Paris 12th arrondissement (Bercy): Rue de Bercy, Paris</t>
  </si>
  <si>
    <t>Paris 10th (Gare de l'Est): 4 Rue du 8 Mai 1945, 75010 Paris</t>
  </si>
  <si>
    <t>Paris 10th (Gare du Nord): 18 Rue de Dunkerque, 75010 Paris</t>
  </si>
  <si>
    <t>Paris 8th (Saint-Lazare): 1 Cr de Rome, 75008 Paris</t>
  </si>
  <si>
    <t>Paris 14th (Montparnasse): 70 Bd du Montparnasse, 75014 Paris</t>
  </si>
  <si>
    <t>Paris 1er (Sébastopol): 11 Bd de Sébastopol, 75001 Paris</t>
  </si>
  <si>
    <t>Paris 9th (Haussmann): 32 Bd Haussmann, 75009 Paris</t>
  </si>
  <si>
    <t>Paris 1st (Forum des Halles): Multiple active points including level -3 and 1 Passage de La Canopée</t>
  </si>
  <si>
    <t>Paris 9th (La Fayette): 67 Rue La Fayette, 75009 Paris</t>
  </si>
  <si>
    <t>Paris 1er (Carrousel du Louvre): 75001 Paris</t>
  </si>
  <si>
    <t>Paris 9th (Havre): 10 Rue du Havre, 75009 Paris</t>
  </si>
  <si>
    <t>Paris 1st (Rambuteau): 77 Rue Rambuteau, 75001 Paris</t>
  </si>
  <si>
    <t>Paris 6th (Saint-Michel): 24 Bd Saint-Michel, 75006 Paris</t>
  </si>
  <si>
    <t>Paris 13th (Avenue de France): 107 Av. de France, 75013 Paris</t>
  </si>
  <si>
    <t>Paris 2nd (Poissonnière): 7 Bd Poissonnière, 75002 Paris</t>
  </si>
  <si>
    <t>Pret A Manger</t>
  </si>
  <si>
    <t>Part-time</t>
  </si>
  <si>
    <t>Food Service</t>
  </si>
  <si>
    <t>Team Member / Service</t>
  </si>
  <si>
    <t>34 Rue du Louvre, 75001 Paris, France</t>
  </si>
  <si>
    <t>https://www.pret.co.uk/en-GB/pret-jobs</t>
  </si>
  <si>
    <t>Domino's Pizza</t>
  </si>
  <si>
    <t>Food Service / Delivery</t>
  </si>
  <si>
    <t>Delivery / store team</t>
  </si>
  <si>
    <t>Paris 13 BNF: Rue Tolbiac, Paris</t>
  </si>
  <si>
    <t>https://www.dominos.fr/recrutement</t>
  </si>
  <si>
    <t>Paris 17 - Place des Ternes: Rue Lebon, Paris</t>
  </si>
  <si>
    <t>Paris 17 - Batignolles: Rue Legendre, Paris</t>
  </si>
  <si>
    <t>Paris 16 South: Rue Bosio, Paris</t>
  </si>
  <si>
    <t>Bourg-la-Reine: Avenue du Général Leclerc, Bourg-la-Reine</t>
  </si>
  <si>
    <t>Bobigny: Rue de Paris, Bobigny</t>
  </si>
  <si>
    <t>Job / Evidence URL</t>
  </si>
  <si>
    <t>What was verified</t>
  </si>
  <si>
    <t>Public job/application evidence supplied in the source dataset; verify the live page before applying.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</si>
</sst>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\ h:mm:ss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165" fontId="0" fillId="0" borderId="0" xfId="0" applyNumberFormat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0/07/relationships/rdRichValueWebImage" Target="richData/rdRichValueWebImag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" Target="richData/rdrichvalue.xml"/></Relationships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fr"/><Relationship Id="rId21" Type="http://schemas.openxmlformats.org/officeDocument/2006/relationships/hyperlink" Target="https://www.google.com/s2/favicons?domain=zeplug.com&amp;sz=128" TargetMode="External"/><Relationship Id="rId42" Type="http://schemas.openxmlformats.org/officeDocument/2006/relationships/image" Target="../media/image21.ai"/><Relationship Id="rId47" Type="http://schemas.openxmlformats.org/officeDocument/2006/relationships/hyperlink" Target="https://www.google.com/s2/favicons?domain=amo.co&amp;sz=128" TargetMode="External"/><Relationship Id="rId63" Type="http://schemas.openxmlformats.org/officeDocument/2006/relationships/hyperlink" Target="https://www.google.com/s2/favicons?domain=emploi.burgerking.fr&amp;sz=128" TargetMode="External"/><Relationship Id="rId68" Type="http://schemas.openxmlformats.org/officeDocument/2006/relationships/image" Target="../media/image34.fr"/><Relationship Id="rId7" Type="http://schemas.openxmlformats.org/officeDocument/2006/relationships/hyperlink" Target="https://www.google.com/s2/favicons?domain=skello.io&amp;sz=128" TargetMode="External"/><Relationship Id="rId71" Type="http://schemas.openxmlformats.org/officeDocument/2006/relationships/hyperlink" Target="https://www.google.com/s2/favicons?domain=starbucks.fr&amp;sz=128" TargetMode="External"/><Relationship Id="rId2" Type="http://schemas.openxmlformats.org/officeDocument/2006/relationships/image" Target="../media/image1.com"/><Relationship Id="rId16" Type="http://schemas.openxmlformats.org/officeDocument/2006/relationships/image" Target="../media/image8.fr"/><Relationship Id="rId29" Type="http://schemas.openxmlformats.org/officeDocument/2006/relationships/hyperlink" Target="https://www.google.com/s2/favicons?domain=tabobine.com&amp;sz=128" TargetMode="External"/><Relationship Id="rId11" Type="http://schemas.openxmlformats.org/officeDocument/2006/relationships/hyperlink" Target="https://www.google.com/s2/favicons?domain=voodoo.io&amp;sz=128" TargetMode="External"/><Relationship Id="rId24" Type="http://schemas.openxmlformats.org/officeDocument/2006/relationships/image" Target="../media/image12.fr"/><Relationship Id="rId32" Type="http://schemas.openxmlformats.org/officeDocument/2006/relationships/image" Target="../media/image16.me"/><Relationship Id="rId37" Type="http://schemas.openxmlformats.org/officeDocument/2006/relationships/hyperlink" Target="https://www.google.com/s2/favicons?domain=front.com&amp;sz=128" TargetMode="External"/><Relationship Id="rId40" Type="http://schemas.openxmlformats.org/officeDocument/2006/relationships/image" Target="../media/image20.com"/><Relationship Id="rId45" Type="http://schemas.openxmlformats.org/officeDocument/2006/relationships/hyperlink" Target="https://www.google.com/s2/favicons?domain=dust.tt&amp;sz=128" TargetMode="External"/><Relationship Id="rId53" Type="http://schemas.openxmlformats.org/officeDocument/2006/relationships/hyperlink" Target="https://www.google.com/s2/favicons?domain=jobs.blablacar.com&amp;sz=128" TargetMode="External"/><Relationship Id="rId58" Type="http://schemas.openxmlformats.org/officeDocument/2006/relationships/image" Target="../media/image29.com"/><Relationship Id="rId66" Type="http://schemas.openxmlformats.org/officeDocument/2006/relationships/image" Target="../media/image33.fr"/><Relationship Id="rId5" Type="http://schemas.openxmlformats.org/officeDocument/2006/relationships/hyperlink" Target="https://www.google.com/s2/favicons?domain=malt.com&amp;sz=128" TargetMode="External"/><Relationship Id="rId61" Type="http://schemas.openxmlformats.org/officeDocument/2006/relationships/hyperlink" Target="https://www.google.com/s2/favicons?domain=recrutement.fiveguys.fr&amp;sz=128" TargetMode="External"/><Relationship Id="rId19" Type="http://schemas.openxmlformats.org/officeDocument/2006/relationships/hyperlink" Target="https://www.google.com/s2/favicons?domain=wakeo.co&amp;sz=128" TargetMode="External"/><Relationship Id="rId14" Type="http://schemas.openxmlformats.org/officeDocument/2006/relationships/image" Target="../media/image7.com"/><Relationship Id="rId22" Type="http://schemas.openxmlformats.org/officeDocument/2006/relationships/image" Target="../media/image11.com"/><Relationship Id="rId27" Type="http://schemas.openxmlformats.org/officeDocument/2006/relationships/hyperlink" Target="https://www.google.com/s2/favicons?domain=garantme.fr&amp;sz=128" TargetMode="External"/><Relationship Id="rId30" Type="http://schemas.openxmlformats.org/officeDocument/2006/relationships/image" Target="../media/image15.com"/><Relationship Id="rId35" Type="http://schemas.openxmlformats.org/officeDocument/2006/relationships/hyperlink" Target="https://www.google.com/s2/favicons?domain=singulier.co&amp;sz=128" TargetMode="External"/><Relationship Id="rId43" Type="http://schemas.openxmlformats.org/officeDocument/2006/relationships/hyperlink" Target="https://www.google.com/s2/favicons?domain=inato.com&amp;sz=128" TargetMode="External"/><Relationship Id="rId48" Type="http://schemas.openxmlformats.org/officeDocument/2006/relationships/image" Target="../media/image24.co"/><Relationship Id="rId56" Type="http://schemas.openxmlformats.org/officeDocument/2006/relationships/image" Target="../media/image28.com"/><Relationship Id="rId64" Type="http://schemas.openxmlformats.org/officeDocument/2006/relationships/image" Target="../media/image32.fr"/><Relationship Id="rId69" Type="http://schemas.openxmlformats.org/officeDocument/2006/relationships/hyperlink" Target="https://www.google.com/s2/favicons?domain=recrute.carrefour.fr&amp;sz=128" TargetMode="External"/><Relationship Id="rId8" Type="http://schemas.openxmlformats.org/officeDocument/2006/relationships/image" Target="../media/image4.io"/><Relationship Id="rId51" Type="http://schemas.openxmlformats.org/officeDocument/2006/relationships/hyperlink" Target="https://www.google.com/s2/favicons?domain=pivotapp.ai&amp;sz=128" TargetMode="External"/><Relationship Id="rId72" Type="http://schemas.openxmlformats.org/officeDocument/2006/relationships/image" Target="../media/image36.fr"/><Relationship Id="rId3" Type="http://schemas.openxmlformats.org/officeDocument/2006/relationships/hyperlink" Target="https://www.google.com/s2/favicons?domain=qonto.com&amp;sz=128" TargetMode="External"/><Relationship Id="rId12" Type="http://schemas.openxmlformats.org/officeDocument/2006/relationships/image" Target="../media/image6.io"/><Relationship Id="rId17" Type="http://schemas.openxmlformats.org/officeDocument/2006/relationships/hyperlink" Target="https://www.google.com/s2/favicons?domain=roundtable.eu&amp;sz=128" TargetMode="External"/><Relationship Id="rId25" Type="http://schemas.openxmlformats.org/officeDocument/2006/relationships/hyperlink" Target="https://www.google.com/s2/favicons?domain=careers.doctolib.fr&amp;sz=128" TargetMode="External"/><Relationship Id="rId33" Type="http://schemas.openxmlformats.org/officeDocument/2006/relationships/hyperlink" Target="https://www.google.com/s2/favicons?domain=joko.com&amp;sz=128" TargetMode="External"/><Relationship Id="rId38" Type="http://schemas.openxmlformats.org/officeDocument/2006/relationships/image" Target="../media/image19.com"/><Relationship Id="rId46" Type="http://schemas.openxmlformats.org/officeDocument/2006/relationships/image" Target="../media/image23.tt"/><Relationship Id="rId59" Type="http://schemas.openxmlformats.org/officeDocument/2006/relationships/hyperlink" Target="https://www.google.com/s2/favicons?domain=scaleway.com&amp;sz=128" TargetMode="External"/><Relationship Id="rId67" Type="http://schemas.openxmlformats.org/officeDocument/2006/relationships/hyperlink" Target="https://www.google.com/s2/favicons?domain=recrutement.monoprix.fr&amp;sz=128" TargetMode="External"/><Relationship Id="rId20" Type="http://schemas.openxmlformats.org/officeDocument/2006/relationships/image" Target="../media/image10.co"/><Relationship Id="rId41" Type="http://schemas.openxmlformats.org/officeDocument/2006/relationships/hyperlink" Target="https://www.google.com/s2/favicons?domain=mistral.ai&amp;sz=128" TargetMode="External"/><Relationship Id="rId54" Type="http://schemas.openxmlformats.org/officeDocument/2006/relationships/image" Target="../media/image27.com"/><Relationship Id="rId62" Type="http://schemas.openxmlformats.org/officeDocument/2006/relationships/image" Target="../media/image31.fr"/><Relationship Id="rId70" Type="http://schemas.openxmlformats.org/officeDocument/2006/relationships/image" Target="../media/image35.fr"/><Relationship Id="rId1" Type="http://schemas.openxmlformats.org/officeDocument/2006/relationships/hyperlink" Target="https://www.google.com/s2/favicons?domain=pigment.com&amp;sz=128" TargetMode="External"/><Relationship Id="rId6" Type="http://schemas.openxmlformats.org/officeDocument/2006/relationships/image" Target="../media/image3.com"/><Relationship Id="rId15" Type="http://schemas.openxmlformats.org/officeDocument/2006/relationships/hyperlink" Target="https://www.google.com/s2/favicons?domain=daisyapp.fr&amp;sz=128" TargetMode="External"/><Relationship Id="rId23" Type="http://schemas.openxmlformats.org/officeDocument/2006/relationships/hyperlink" Target="https://www.google.com/s2/favicons?domain=blissim.fr&amp;sz=128" TargetMode="External"/><Relationship Id="rId28" Type="http://schemas.openxmlformats.org/officeDocument/2006/relationships/image" Target="../media/image14.fr"/><Relationship Id="rId36" Type="http://schemas.openxmlformats.org/officeDocument/2006/relationships/image" Target="../media/image18.co"/><Relationship Id="rId49" Type="http://schemas.openxmlformats.org/officeDocument/2006/relationships/hyperlink" Target="https://www.google.com/s2/favicons?domain=altaares.com&amp;sz=128" TargetMode="External"/><Relationship Id="rId57" Type="http://schemas.openxmlformats.org/officeDocument/2006/relationships/hyperlink" Target="https://www.google.com/s2/favicons?domain=sorare.com&amp;sz=128" TargetMode="External"/><Relationship Id="rId10" Type="http://schemas.openxmlformats.org/officeDocument/2006/relationships/image" Target="../media/image5.io"/><Relationship Id="rId31" Type="http://schemas.openxmlformats.org/officeDocument/2006/relationships/hyperlink" Target="https://www.google.com/s2/favicons?domain=proton.me&amp;sz=128" TargetMode="External"/><Relationship Id="rId44" Type="http://schemas.openxmlformats.org/officeDocument/2006/relationships/image" Target="../media/image22.com"/><Relationship Id="rId52" Type="http://schemas.openxmlformats.org/officeDocument/2006/relationships/image" Target="../media/image26.ai"/><Relationship Id="rId60" Type="http://schemas.openxmlformats.org/officeDocument/2006/relationships/image" Target="../media/image30.com"/><Relationship Id="rId65" Type="http://schemas.openxmlformats.org/officeDocument/2006/relationships/hyperlink" Target="https://www.google.com/s2/favicons?domain=joinus.decathlon.fr&amp;sz=128" TargetMode="External"/><Relationship Id="rId4" Type="http://schemas.openxmlformats.org/officeDocument/2006/relationships/image" Target="../media/image2.com"/><Relationship Id="rId9" Type="http://schemas.openxmlformats.org/officeDocument/2006/relationships/hyperlink" Target="https://www.google.com/s2/favicons?domain=aircall.io&amp;sz=128" TargetMode="External"/><Relationship Id="rId13" Type="http://schemas.openxmlformats.org/officeDocument/2006/relationships/hyperlink" Target="https://www.google.com/s2/favicons?domain=quandela.com&amp;sz=128" TargetMode="External"/><Relationship Id="rId18" Type="http://schemas.openxmlformats.org/officeDocument/2006/relationships/image" Target="../media/image9.eu"/><Relationship Id="rId39" Type="http://schemas.openxmlformats.org/officeDocument/2006/relationships/hyperlink" Target="https://www.google.com/s2/favicons?domain=tiktok.com&amp;sz=128" TargetMode="External"/><Relationship Id="rId34" Type="http://schemas.openxmlformats.org/officeDocument/2006/relationships/image" Target="../media/image17.com"/><Relationship Id="rId50" Type="http://schemas.openxmlformats.org/officeDocument/2006/relationships/image" Target="../media/image25.com"/><Relationship Id="rId55" Type="http://schemas.openxmlformats.org/officeDocument/2006/relationships/hyperlink" Target="https://www.google.com/s2/favicons?domain=akur8.com&amp;sz=128" TargetMode="Externa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44.png"/><Relationship Id="rId13" Type="http://schemas.openxmlformats.org/officeDocument/2006/relationships/image" Target="../media/image49.jpeg"/><Relationship Id="rId3" Type="http://schemas.openxmlformats.org/officeDocument/2006/relationships/image" Target="../media/image39.jpeg"/><Relationship Id="rId7" Type="http://schemas.openxmlformats.org/officeDocument/2006/relationships/image" Target="../media/image43.jpeg"/><Relationship Id="rId12" Type="http://schemas.openxmlformats.org/officeDocument/2006/relationships/image" Target="../media/image48.jpeg"/><Relationship Id="rId17" Type="http://schemas.openxmlformats.org/officeDocument/2006/relationships/image" Target="../media/image53.png"/><Relationship Id="rId2" Type="http://schemas.openxmlformats.org/officeDocument/2006/relationships/image" Target="../media/image38.png"/><Relationship Id="rId16" Type="http://schemas.openxmlformats.org/officeDocument/2006/relationships/image" Target="../media/image52.png"/><Relationship Id="rId1" Type="http://schemas.openxmlformats.org/officeDocument/2006/relationships/image" Target="../media/image37.png"/><Relationship Id="rId6" Type="http://schemas.openxmlformats.org/officeDocument/2006/relationships/image" Target="../media/image42.jpeg"/><Relationship Id="rId11" Type="http://schemas.openxmlformats.org/officeDocument/2006/relationships/image" Target="../media/image47.png"/><Relationship Id="rId5" Type="http://schemas.openxmlformats.org/officeDocument/2006/relationships/image" Target="../media/image41.jpeg"/><Relationship Id="rId15" Type="http://schemas.openxmlformats.org/officeDocument/2006/relationships/image" Target="../media/image51.jpeg"/><Relationship Id="rId10" Type="http://schemas.openxmlformats.org/officeDocument/2006/relationships/image" Target="../media/image46.png"/><Relationship Id="rId4" Type="http://schemas.openxmlformats.org/officeDocument/2006/relationships/image" Target="../media/image40.png"/><Relationship Id="rId9" Type="http://schemas.openxmlformats.org/officeDocument/2006/relationships/image" Target="../media/image45.jpeg"/><Relationship Id="rId14" Type="http://schemas.openxmlformats.org/officeDocument/2006/relationships/image" Target="../media/image5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</webImagesSrd>
</file>

<file path=xl/richData/rdrichvalue.xml><?xml version="1.0" encoding="utf-8"?>
<rvData xmlns="http://schemas.microsoft.com/office/spreadsheetml/2017/richdata" count="53">
  <rv s="0">
    <v>0</v>
    <v>5</v>
  </rv>
  <rv s="0">
    <v>1</v>
    <v>5</v>
  </rv>
  <rv s="1">
    <v>0</v>
    <v>1</v>
    <v>0</v>
    <v>0</v>
    <v>Pigment favicon</v>
  </rv>
  <rv s="1">
    <v>1</v>
    <v>1</v>
    <v>0</v>
    <v>0</v>
    <v>Qonto favicon</v>
  </rv>
  <rv s="1">
    <v>2</v>
    <v>1</v>
    <v>0</v>
    <v>0</v>
    <v>Malt favicon</v>
  </rv>
  <rv s="1">
    <v>3</v>
    <v>1</v>
    <v>0</v>
    <v>0</v>
    <v>Skello favicon</v>
  </rv>
  <rv s="1">
    <v>4</v>
    <v>1</v>
    <v>0</v>
    <v>0</v>
    <v>Aircall favicon</v>
  </rv>
  <rv s="1">
    <v>5</v>
    <v>1</v>
    <v>0</v>
    <v>0</v>
    <v>Voodoo favicon</v>
  </rv>
  <rv s="1">
    <v>6</v>
    <v>1</v>
    <v>0</v>
    <v>0</v>
    <v>Quandela favicon</v>
  </rv>
  <rv s="1">
    <v>7</v>
    <v>1</v>
    <v>0</v>
    <v>0</v>
    <v>Daisy favicon</v>
  </rv>
  <rv s="1">
    <v>8</v>
    <v>1</v>
    <v>0</v>
    <v>0</v>
    <v>Roundtable favicon</v>
  </rv>
  <rv s="0">
    <v>2</v>
    <v>5</v>
  </rv>
  <rv s="0">
    <v>3</v>
    <v>5</v>
  </rv>
  <rv s="1">
    <v>9</v>
    <v>1</v>
    <v>0</v>
    <v>0</v>
    <v>Wakeo favicon</v>
  </rv>
  <rv s="1">
    <v>10</v>
    <v>1</v>
    <v>0</v>
    <v>0</v>
    <v>ZEPLUG favicon</v>
  </rv>
  <rv s="0">
    <v>4</v>
    <v>5</v>
  </rv>
  <rv s="0">
    <v>5</v>
    <v>5</v>
  </rv>
  <rv s="1">
    <v>11</v>
    <v>1</v>
    <v>0</v>
    <v>0</v>
    <v>Blissim favicon</v>
  </rv>
  <rv s="1">
    <v>12</v>
    <v>1</v>
    <v>0</v>
    <v>0</v>
    <v>Doctolib favicon</v>
  </rv>
  <rv s="1">
    <v>13</v>
    <v>1</v>
    <v>0</v>
    <v>0</v>
    <v>Garantme favicon</v>
  </rv>
  <rv s="1">
    <v>14</v>
    <v>1</v>
    <v>0</v>
    <v>0</v>
    <v>TABOBINE favicon</v>
  </rv>
  <rv s="1">
    <v>15</v>
    <v>1</v>
    <v>0</v>
    <v>0</v>
    <v>Proton favicon</v>
  </rv>
  <rv s="0">
    <v>6</v>
    <v>5</v>
  </rv>
  <rv s="1">
    <v>16</v>
    <v>1</v>
    <v>0</v>
    <v>0</v>
    <v>Joko favicon</v>
  </rv>
  <rv s="1">
    <v>17</v>
    <v>1</v>
    <v>0</v>
    <v>0</v>
    <v>Singulier favicon</v>
  </rv>
  <rv s="1">
    <v>18</v>
    <v>1</v>
    <v>0</v>
    <v>0</v>
    <v>Front favicon</v>
  </rv>
  <rv s="0">
    <v>7</v>
    <v>5</v>
  </rv>
  <rv s="0">
    <v>8</v>
    <v>5</v>
  </rv>
  <rv s="1">
    <v>19</v>
    <v>1</v>
    <v>0</v>
    <v>0</v>
    <v>TikTok favicon</v>
  </rv>
  <rv s="1">
    <v>20</v>
    <v>1</v>
    <v>0</v>
    <v>0</v>
    <v>Mistral AI favicon</v>
  </rv>
  <rv s="0">
    <v>9</v>
    <v>5</v>
  </rv>
  <rv s="1">
    <v>21</v>
    <v>1</v>
    <v>0</v>
    <v>0</v>
    <v>Inato favicon</v>
  </rv>
  <rv s="1">
    <v>22</v>
    <v>1</v>
    <v>0</v>
    <v>0</v>
    <v>Dust favicon</v>
  </rv>
  <rv s="1">
    <v>23</v>
    <v>1</v>
    <v>0</v>
    <v>0</v>
    <v>amo / Bump favicon</v>
  </rv>
  <rv s="1">
    <v>24</v>
    <v>1</v>
    <v>0</v>
    <v>0</v>
    <v>Alta Ares favicon</v>
  </rv>
  <rv s="1">
    <v>25</v>
    <v>1</v>
    <v>0</v>
    <v>0</v>
    <v>Pivot favicon</v>
  </rv>
  <rv s="1">
    <v>26</v>
    <v>1</v>
    <v>0</v>
    <v>0</v>
    <v>BlaBlaCar favicon</v>
  </rv>
  <rv s="1">
    <v>27</v>
    <v>1</v>
    <v>0</v>
    <v>0</v>
    <v>Akur8 favicon</v>
  </rv>
  <rv s="1">
    <v>28</v>
    <v>1</v>
    <v>0</v>
    <v>0</v>
    <v>Sorare favicon</v>
  </rv>
  <rv s="1">
    <v>29</v>
    <v>1</v>
    <v>0</v>
    <v>0</v>
    <v>Scaleway favicon</v>
  </rv>
  <rv s="0">
    <v>10</v>
    <v>5</v>
  </rv>
  <rv s="1">
    <v>30</v>
    <v>1</v>
    <v>0</v>
    <v>0</v>
    <v>Five Guys favicon</v>
  </rv>
  <rv s="1">
    <v>31</v>
    <v>1</v>
    <v>0</v>
    <v>0</v>
    <v>Burger King favicon</v>
  </rv>
  <rv s="0">
    <v>11</v>
    <v>5</v>
  </rv>
  <rv s="1">
    <v>32</v>
    <v>1</v>
    <v>0</v>
    <v>0</v>
    <v>Decathlon favicon</v>
  </rv>
  <rv s="1">
    <v>33</v>
    <v>1</v>
    <v>0</v>
    <v>0</v>
    <v>Monoprix favicon</v>
  </rv>
  <rv s="1">
    <v>34</v>
    <v>1</v>
    <v>0</v>
    <v>0</v>
    <v>Carrefour favicon</v>
  </rv>
  <rv s="0">
    <v>12</v>
    <v>5</v>
  </rv>
  <rv s="0">
    <v>13</v>
    <v>5</v>
  </rv>
  <rv s="0">
    <v>14</v>
    <v>5</v>
  </rv>
  <rv s="1">
    <v>35</v>
    <v>1</v>
    <v>0</v>
    <v>0</v>
    <v>Starbucks favicon</v>
  </rv>
  <rv s="0">
    <v>15</v>
    <v>5</v>
  </rv>
  <rv s="0">
    <v>16</v>
    <v>5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webimage">
    <k n="WebImageIdentifier" t="i"/>
    <k n="CalcOrigin" t="i"/>
    <k n="ComputedImage" t="b"/>
    <k n="ImageSizing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95" customWidth="1"/>
  </cols>
  <sheetData>
    <row r="1" spans="1:2" ht="31.95" customHeight="1" x14ac:dyDescent="0.3">
      <c r="A1" s="1" t="s">
        <v>0</v>
      </c>
      <c r="B1" s="1" t="s">
        <v>1</v>
      </c>
    </row>
    <row r="2" spans="1:2" x14ac:dyDescent="0.3">
      <c r="A2" s="2" t="s">
        <v>0</v>
      </c>
      <c r="B2" s="2" t="s">
        <v>2</v>
      </c>
    </row>
    <row r="3" spans="1:2" x14ac:dyDescent="0.3">
      <c r="A3" s="2" t="s">
        <v>3</v>
      </c>
      <c r="B3" s="2" t="s">
        <v>4</v>
      </c>
    </row>
    <row r="4" spans="1:2" x14ac:dyDescent="0.3">
      <c r="A4" s="2" t="s">
        <v>5</v>
      </c>
      <c r="B4" s="2" t="s">
        <v>6</v>
      </c>
    </row>
    <row r="5" spans="1:2" x14ac:dyDescent="0.3">
      <c r="A5" s="2" t="s">
        <v>7</v>
      </c>
      <c r="B5" s="2" t="s">
        <v>8</v>
      </c>
    </row>
    <row r="6" spans="1:2" ht="28.8" x14ac:dyDescent="0.3">
      <c r="A6" s="2" t="s">
        <v>9</v>
      </c>
      <c r="B6" s="2" t="s">
        <v>10</v>
      </c>
    </row>
    <row r="7" spans="1:2" x14ac:dyDescent="0.3">
      <c r="A7" s="2" t="s">
        <v>11</v>
      </c>
      <c r="B7" s="2" t="s">
        <v>12</v>
      </c>
    </row>
  </sheetData>
  <autoFilter ref="A1:B7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0"/>
  <sheetViews>
    <sheetView workbookViewId="0">
      <pane ySplit="1" topLeftCell="A19" activePane="bottomLeft" state="frozen"/>
      <selection pane="bottomLeft" activeCell="A2" sqref="A2:A30"/>
    </sheetView>
  </sheetViews>
  <sheetFormatPr defaultRowHeight="14.4" x14ac:dyDescent="0.3"/>
  <cols>
    <col min="1" max="1" width="18" customWidth="1"/>
    <col min="2" max="2" width="22" customWidth="1"/>
    <col min="3" max="4" width="24" customWidth="1"/>
    <col min="5" max="5" width="20" customWidth="1"/>
    <col min="6" max="6" width="28" customWidth="1"/>
    <col min="7" max="7" width="42" customWidth="1"/>
    <col min="8" max="8" width="48" customWidth="1"/>
    <col min="9" max="9" width="30" customWidth="1"/>
    <col min="10" max="10" width="55" customWidth="1"/>
    <col min="11" max="11" width="42" customWidth="1"/>
    <col min="12" max="12" width="24" customWidth="1"/>
    <col min="13" max="13" width="16" customWidth="1"/>
    <col min="14" max="14" width="75" customWidth="1"/>
  </cols>
  <sheetData>
    <row r="1" spans="1:14" ht="31.95" customHeight="1" x14ac:dyDescent="0.3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L1" s="4" t="s">
        <v>24</v>
      </c>
      <c r="M1" s="4" t="s">
        <v>25</v>
      </c>
      <c r="N1" s="4" t="s">
        <v>26</v>
      </c>
    </row>
    <row r="2" spans="1:14" ht="43.2" x14ac:dyDescent="0.3">
      <c r="A2" t="e" vm="1">
        <v>#VALUE!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33</v>
      </c>
      <c r="I2" s="2" t="s">
        <v>34</v>
      </c>
      <c r="J2" s="2" t="s">
        <v>35</v>
      </c>
      <c r="K2" s="2" t="s">
        <v>36</v>
      </c>
      <c r="L2" s="2" t="s">
        <v>37</v>
      </c>
      <c r="M2" s="5">
        <v>46255</v>
      </c>
      <c r="N2" s="2" t="s">
        <v>38</v>
      </c>
    </row>
    <row r="3" spans="1:14" ht="28.8" x14ac:dyDescent="0.3">
      <c r="A3" t="e" vm="2">
        <v>#VALUE!</v>
      </c>
      <c r="B3" s="2" t="s">
        <v>39</v>
      </c>
      <c r="C3" s="2" t="s">
        <v>40</v>
      </c>
      <c r="D3" s="2" t="s">
        <v>29</v>
      </c>
      <c r="E3" s="2" t="s">
        <v>30</v>
      </c>
      <c r="F3" s="2" t="s">
        <v>41</v>
      </c>
      <c r="G3" s="2" t="s">
        <v>42</v>
      </c>
      <c r="H3" s="2" t="s">
        <v>43</v>
      </c>
      <c r="I3" s="2" t="s">
        <v>34</v>
      </c>
      <c r="J3" s="2" t="s">
        <v>44</v>
      </c>
      <c r="K3" s="2" t="s">
        <v>45</v>
      </c>
      <c r="L3" s="2" t="s">
        <v>37</v>
      </c>
      <c r="M3" s="5">
        <v>46255</v>
      </c>
      <c r="N3" s="2" t="s">
        <v>46</v>
      </c>
    </row>
    <row r="4" spans="1:14" ht="43.2" x14ac:dyDescent="0.3">
      <c r="A4" t="e" vm="3">
        <f>_xlfn.IMAGE("https://www.google.com/s2/favicons?domain=pigment.com&amp;sz=128","Pigment favicon")</f>
        <v>#VALUE!</v>
      </c>
      <c r="B4" s="2" t="s">
        <v>47</v>
      </c>
      <c r="C4" s="2" t="s">
        <v>28</v>
      </c>
      <c r="D4" s="2" t="s">
        <v>29</v>
      </c>
      <c r="E4" s="2" t="s">
        <v>30</v>
      </c>
      <c r="F4" s="2" t="s">
        <v>48</v>
      </c>
      <c r="G4" s="2" t="s">
        <v>49</v>
      </c>
      <c r="H4" s="2" t="s">
        <v>50</v>
      </c>
      <c r="I4" s="2" t="s">
        <v>34</v>
      </c>
      <c r="J4" s="2" t="s">
        <v>51</v>
      </c>
      <c r="K4" s="2" t="s">
        <v>52</v>
      </c>
      <c r="L4" s="2" t="s">
        <v>37</v>
      </c>
      <c r="M4" s="5">
        <v>46255</v>
      </c>
      <c r="N4" s="2" t="s">
        <v>53</v>
      </c>
    </row>
    <row r="5" spans="1:14" ht="28.8" x14ac:dyDescent="0.3">
      <c r="A5" t="e" vm="4">
        <f>_xlfn.IMAGE("https://www.google.com/s2/favicons?domain=qonto.com&amp;sz=128","Qonto favicon")</f>
        <v>#VALUE!</v>
      </c>
      <c r="B5" s="2" t="s">
        <v>54</v>
      </c>
      <c r="C5" s="2" t="s">
        <v>28</v>
      </c>
      <c r="D5" s="2" t="s">
        <v>29</v>
      </c>
      <c r="E5" s="2" t="s">
        <v>30</v>
      </c>
      <c r="F5" s="2" t="s">
        <v>55</v>
      </c>
      <c r="G5" s="2" t="s">
        <v>56</v>
      </c>
      <c r="H5" s="2" t="s">
        <v>57</v>
      </c>
      <c r="I5" s="2" t="s">
        <v>34</v>
      </c>
      <c r="J5" s="2" t="s">
        <v>58</v>
      </c>
      <c r="K5" s="2" t="s">
        <v>59</v>
      </c>
      <c r="L5" s="2" t="s">
        <v>37</v>
      </c>
      <c r="M5" s="5">
        <v>46255</v>
      </c>
      <c r="N5" s="2" t="s">
        <v>46</v>
      </c>
    </row>
    <row r="6" spans="1:14" ht="28.8" x14ac:dyDescent="0.3">
      <c r="A6" t="e" vm="5">
        <f>_xlfn.IMAGE("https://www.google.com/s2/favicons?domain=malt.com&amp;sz=128","Malt favicon")</f>
        <v>#VALUE!</v>
      </c>
      <c r="B6" s="2" t="s">
        <v>60</v>
      </c>
      <c r="C6" s="2" t="s">
        <v>28</v>
      </c>
      <c r="D6" s="2" t="s">
        <v>29</v>
      </c>
      <c r="E6" s="2" t="s">
        <v>30</v>
      </c>
      <c r="F6" s="2" t="s">
        <v>61</v>
      </c>
      <c r="G6" s="2" t="s">
        <v>62</v>
      </c>
      <c r="H6" s="2" t="s">
        <v>63</v>
      </c>
      <c r="I6" s="2" t="s">
        <v>34</v>
      </c>
      <c r="J6" s="2" t="s">
        <v>64</v>
      </c>
      <c r="K6" s="2" t="s">
        <v>65</v>
      </c>
      <c r="L6" s="2" t="s">
        <v>37</v>
      </c>
      <c r="M6" s="5">
        <v>46255</v>
      </c>
      <c r="N6" s="2" t="s">
        <v>66</v>
      </c>
    </row>
    <row r="7" spans="1:14" ht="43.2" x14ac:dyDescent="0.3">
      <c r="A7" t="e" vm="6">
        <f>_xlfn.IMAGE("https://www.google.com/s2/favicons?domain=skello.io&amp;sz=128","Skello favicon")</f>
        <v>#VALUE!</v>
      </c>
      <c r="B7" s="2" t="s">
        <v>67</v>
      </c>
      <c r="C7" s="2" t="s">
        <v>28</v>
      </c>
      <c r="D7" s="2" t="s">
        <v>68</v>
      </c>
      <c r="E7" s="2" t="s">
        <v>30</v>
      </c>
      <c r="F7" s="2" t="s">
        <v>69</v>
      </c>
      <c r="G7" s="2" t="s">
        <v>70</v>
      </c>
      <c r="H7" s="2" t="s">
        <v>71</v>
      </c>
      <c r="I7" s="2" t="s">
        <v>34</v>
      </c>
      <c r="J7" s="2" t="s">
        <v>72</v>
      </c>
      <c r="K7" s="2" t="s">
        <v>73</v>
      </c>
      <c r="L7" s="2" t="s">
        <v>37</v>
      </c>
      <c r="M7" s="5">
        <v>46255</v>
      </c>
      <c r="N7" s="2" t="s">
        <v>74</v>
      </c>
    </row>
    <row r="8" spans="1:14" ht="43.2" x14ac:dyDescent="0.3">
      <c r="A8" t="e" vm="7">
        <f>_xlfn.IMAGE("https://www.google.com/s2/favicons?domain=aircall.io&amp;sz=128","Aircall favicon")</f>
        <v>#VALUE!</v>
      </c>
      <c r="B8" s="2" t="s">
        <v>75</v>
      </c>
      <c r="C8" s="2" t="s">
        <v>28</v>
      </c>
      <c r="D8" s="2" t="s">
        <v>76</v>
      </c>
      <c r="E8" s="2" t="s">
        <v>30</v>
      </c>
      <c r="F8" s="2" t="s">
        <v>77</v>
      </c>
      <c r="G8" s="2" t="s">
        <v>78</v>
      </c>
      <c r="H8" s="2" t="s">
        <v>79</v>
      </c>
      <c r="I8" s="2" t="s">
        <v>34</v>
      </c>
      <c r="J8" s="2" t="s">
        <v>80</v>
      </c>
      <c r="K8" s="2" t="s">
        <v>81</v>
      </c>
      <c r="L8" s="2" t="s">
        <v>37</v>
      </c>
      <c r="M8" s="5">
        <v>46255</v>
      </c>
      <c r="N8" s="2" t="s">
        <v>82</v>
      </c>
    </row>
    <row r="9" spans="1:14" ht="43.2" x14ac:dyDescent="0.3">
      <c r="A9" t="e" vm="8">
        <f>_xlfn.IMAGE("https://www.google.com/s2/favicons?domain=voodoo.io&amp;sz=128","Voodoo favicon")</f>
        <v>#VALUE!</v>
      </c>
      <c r="B9" s="2" t="s">
        <v>83</v>
      </c>
      <c r="C9" s="2" t="s">
        <v>28</v>
      </c>
      <c r="D9" s="2" t="s">
        <v>29</v>
      </c>
      <c r="E9" s="2" t="s">
        <v>30</v>
      </c>
      <c r="F9" s="2" t="s">
        <v>84</v>
      </c>
      <c r="G9" s="2" t="s">
        <v>85</v>
      </c>
      <c r="H9" s="2" t="s">
        <v>86</v>
      </c>
      <c r="I9" s="2" t="s">
        <v>34</v>
      </c>
      <c r="J9" s="2" t="s">
        <v>87</v>
      </c>
      <c r="K9" s="2" t="s">
        <v>88</v>
      </c>
      <c r="L9" s="2" t="s">
        <v>37</v>
      </c>
      <c r="M9" s="5">
        <v>46255</v>
      </c>
      <c r="N9" s="2" t="s">
        <v>89</v>
      </c>
    </row>
    <row r="10" spans="1:14" ht="28.8" x14ac:dyDescent="0.3">
      <c r="A10" t="e" vm="9">
        <f>_xlfn.IMAGE("https://www.google.com/s2/favicons?domain=quandela.com&amp;sz=128","Quandela favicon")</f>
        <v>#VALUE!</v>
      </c>
      <c r="B10" s="2" t="s">
        <v>90</v>
      </c>
      <c r="C10" s="2" t="s">
        <v>28</v>
      </c>
      <c r="D10" s="2" t="s">
        <v>91</v>
      </c>
      <c r="E10" s="2" t="s">
        <v>30</v>
      </c>
      <c r="F10" s="2" t="s">
        <v>92</v>
      </c>
      <c r="G10" s="2" t="s">
        <v>93</v>
      </c>
      <c r="H10" s="2" t="s">
        <v>94</v>
      </c>
      <c r="I10" s="2" t="s">
        <v>34</v>
      </c>
      <c r="J10" s="2" t="s">
        <v>95</v>
      </c>
      <c r="K10" s="2" t="s">
        <v>96</v>
      </c>
      <c r="L10" s="2" t="s">
        <v>37</v>
      </c>
      <c r="M10" s="5">
        <v>46255</v>
      </c>
      <c r="N10" s="2" t="s">
        <v>46</v>
      </c>
    </row>
    <row r="11" spans="1:14" ht="43.2" x14ac:dyDescent="0.3">
      <c r="A11" t="e" vm="10">
        <f>_xlfn.IMAGE("https://www.google.com/s2/favicons?domain=daisyapp.fr&amp;sz=128","Daisy favicon")</f>
        <v>#VALUE!</v>
      </c>
      <c r="B11" s="2" t="s">
        <v>97</v>
      </c>
      <c r="C11" s="2" t="s">
        <v>28</v>
      </c>
      <c r="D11" s="2" t="s">
        <v>98</v>
      </c>
      <c r="E11" s="2" t="s">
        <v>30</v>
      </c>
      <c r="F11" s="2" t="s">
        <v>99</v>
      </c>
      <c r="G11" s="2" t="s">
        <v>100</v>
      </c>
      <c r="H11" s="2" t="s">
        <v>101</v>
      </c>
      <c r="I11" s="2" t="s">
        <v>34</v>
      </c>
      <c r="J11" s="2" t="s">
        <v>102</v>
      </c>
      <c r="K11" s="2" t="s">
        <v>103</v>
      </c>
      <c r="L11" s="2" t="s">
        <v>37</v>
      </c>
      <c r="M11" s="5">
        <v>46255</v>
      </c>
      <c r="N11" s="2" t="s">
        <v>104</v>
      </c>
    </row>
    <row r="12" spans="1:14" ht="43.2" x14ac:dyDescent="0.3">
      <c r="A12" t="e" vm="11">
        <f>_xlfn.IMAGE("https://www.google.com/s2/favicons?domain=roundtable.eu&amp;sz=128","Roundtable favicon")</f>
        <v>#VALUE!</v>
      </c>
      <c r="B12" s="2" t="s">
        <v>105</v>
      </c>
      <c r="C12" s="2" t="s">
        <v>28</v>
      </c>
      <c r="D12" s="2" t="s">
        <v>106</v>
      </c>
      <c r="E12" s="2" t="s">
        <v>30</v>
      </c>
      <c r="F12" s="2" t="s">
        <v>107</v>
      </c>
      <c r="G12" s="2" t="s">
        <v>108</v>
      </c>
      <c r="H12" s="2" t="s">
        <v>109</v>
      </c>
      <c r="I12" s="2" t="s">
        <v>34</v>
      </c>
      <c r="J12" s="2" t="s">
        <v>110</v>
      </c>
      <c r="K12" s="2" t="s">
        <v>111</v>
      </c>
      <c r="L12" s="2" t="s">
        <v>37</v>
      </c>
      <c r="M12" s="5">
        <v>46255</v>
      </c>
      <c r="N12" s="2" t="s">
        <v>112</v>
      </c>
    </row>
    <row r="13" spans="1:14" ht="43.2" x14ac:dyDescent="0.3">
      <c r="A13" t="e" vm="12">
        <v>#VALUE!</v>
      </c>
      <c r="B13" s="2" t="s">
        <v>113</v>
      </c>
      <c r="C13" s="2" t="s">
        <v>28</v>
      </c>
      <c r="D13" s="2" t="s">
        <v>114</v>
      </c>
      <c r="E13" s="2" t="s">
        <v>30</v>
      </c>
      <c r="F13" s="2" t="s">
        <v>115</v>
      </c>
      <c r="G13" s="2" t="s">
        <v>116</v>
      </c>
      <c r="H13" s="2" t="s">
        <v>117</v>
      </c>
      <c r="I13" s="2" t="s">
        <v>34</v>
      </c>
      <c r="J13" s="2" t="s">
        <v>118</v>
      </c>
      <c r="K13" s="2" t="s">
        <v>119</v>
      </c>
      <c r="L13" s="2" t="s">
        <v>37</v>
      </c>
      <c r="M13" s="5">
        <v>46255</v>
      </c>
      <c r="N13" s="2" t="s">
        <v>120</v>
      </c>
    </row>
    <row r="14" spans="1:14" ht="28.8" x14ac:dyDescent="0.3">
      <c r="A14" t="e" vm="13">
        <v>#VALUE!</v>
      </c>
      <c r="B14" s="2" t="s">
        <v>121</v>
      </c>
      <c r="C14" s="2" t="s">
        <v>28</v>
      </c>
      <c r="D14" s="2" t="s">
        <v>68</v>
      </c>
      <c r="E14" s="2" t="s">
        <v>30</v>
      </c>
      <c r="F14" s="2" t="s">
        <v>122</v>
      </c>
      <c r="G14" s="2" t="s">
        <v>123</v>
      </c>
      <c r="H14" s="2" t="s">
        <v>124</v>
      </c>
      <c r="I14" s="2" t="s">
        <v>34</v>
      </c>
      <c r="J14" s="2" t="s">
        <v>125</v>
      </c>
      <c r="K14" s="2" t="s">
        <v>126</v>
      </c>
      <c r="L14" s="2" t="s">
        <v>37</v>
      </c>
      <c r="M14" s="5">
        <v>46255</v>
      </c>
      <c r="N14" s="2" t="s">
        <v>66</v>
      </c>
    </row>
    <row r="15" spans="1:14" ht="43.2" x14ac:dyDescent="0.3">
      <c r="A15" t="e" vm="14">
        <f>_xlfn.IMAGE("https://www.google.com/s2/favicons?domain=wakeo.co&amp;sz=128","Wakeo favicon")</f>
        <v>#VALUE!</v>
      </c>
      <c r="B15" s="2" t="s">
        <v>127</v>
      </c>
      <c r="C15" s="2" t="s">
        <v>28</v>
      </c>
      <c r="D15" s="2" t="s">
        <v>76</v>
      </c>
      <c r="E15" s="2" t="s">
        <v>30</v>
      </c>
      <c r="F15" s="2" t="s">
        <v>128</v>
      </c>
      <c r="G15" s="2" t="s">
        <v>129</v>
      </c>
      <c r="H15" s="2" t="s">
        <v>130</v>
      </c>
      <c r="I15" s="2" t="s">
        <v>34</v>
      </c>
      <c r="J15" s="2" t="s">
        <v>131</v>
      </c>
      <c r="K15" s="2" t="s">
        <v>132</v>
      </c>
      <c r="L15" s="2" t="s">
        <v>37</v>
      </c>
      <c r="M15" s="5">
        <v>46255</v>
      </c>
      <c r="N15" s="2" t="s">
        <v>133</v>
      </c>
    </row>
    <row r="16" spans="1:14" ht="28.8" x14ac:dyDescent="0.3">
      <c r="A16" t="e" vm="15">
        <f>_xlfn.IMAGE("https://www.google.com/s2/favicons?domain=zeplug.com&amp;sz=128","ZEPLUG favicon")</f>
        <v>#VALUE!</v>
      </c>
      <c r="B16" s="2" t="s">
        <v>134</v>
      </c>
      <c r="C16" s="2" t="s">
        <v>28</v>
      </c>
      <c r="D16" s="2" t="s">
        <v>76</v>
      </c>
      <c r="E16" s="2" t="s">
        <v>30</v>
      </c>
      <c r="F16" s="2" t="s">
        <v>135</v>
      </c>
      <c r="G16" s="2" t="s">
        <v>136</v>
      </c>
      <c r="H16" s="2" t="s">
        <v>137</v>
      </c>
      <c r="I16" s="2" t="s">
        <v>34</v>
      </c>
      <c r="J16" s="2" t="s">
        <v>138</v>
      </c>
      <c r="K16" s="2" t="s">
        <v>139</v>
      </c>
      <c r="L16" s="2" t="s">
        <v>37</v>
      </c>
      <c r="M16" s="5">
        <v>46255</v>
      </c>
      <c r="N16" s="2" t="s">
        <v>140</v>
      </c>
    </row>
    <row r="17" spans="1:14" ht="28.8" x14ac:dyDescent="0.3">
      <c r="A17" s="2" t="e" vm="16">
        <v>#VALUE!</v>
      </c>
      <c r="B17" s="2" t="s">
        <v>141</v>
      </c>
      <c r="C17" s="2" t="s">
        <v>28</v>
      </c>
      <c r="D17" s="2" t="s">
        <v>142</v>
      </c>
      <c r="E17" s="2" t="s">
        <v>30</v>
      </c>
      <c r="F17" s="2" t="s">
        <v>143</v>
      </c>
      <c r="G17" s="2" t="s">
        <v>144</v>
      </c>
      <c r="H17" s="2" t="s">
        <v>145</v>
      </c>
      <c r="I17" s="2" t="s">
        <v>34</v>
      </c>
      <c r="J17" s="2" t="s">
        <v>146</v>
      </c>
      <c r="K17" s="2" t="s">
        <v>147</v>
      </c>
      <c r="L17" s="2" t="s">
        <v>37</v>
      </c>
      <c r="M17" s="5">
        <v>46255</v>
      </c>
      <c r="N17" s="2" t="s">
        <v>148</v>
      </c>
    </row>
    <row r="18" spans="1:14" ht="43.2" x14ac:dyDescent="0.3">
      <c r="A18" s="2" t="e" vm="17">
        <v>#VALUE!</v>
      </c>
      <c r="B18" s="2" t="s">
        <v>149</v>
      </c>
      <c r="C18" s="2" t="s">
        <v>28</v>
      </c>
      <c r="D18" s="2" t="s">
        <v>68</v>
      </c>
      <c r="E18" s="2" t="s">
        <v>30</v>
      </c>
      <c r="F18" s="2" t="s">
        <v>150</v>
      </c>
      <c r="G18" s="2" t="s">
        <v>151</v>
      </c>
      <c r="H18" s="2" t="s">
        <v>152</v>
      </c>
      <c r="I18" s="2" t="s">
        <v>34</v>
      </c>
      <c r="J18" s="2" t="s">
        <v>153</v>
      </c>
      <c r="K18" s="2" t="s">
        <v>154</v>
      </c>
      <c r="L18" s="2" t="s">
        <v>37</v>
      </c>
      <c r="M18" s="5">
        <v>46255</v>
      </c>
      <c r="N18" s="2" t="s">
        <v>155</v>
      </c>
    </row>
    <row r="19" spans="1:14" ht="28.8" x14ac:dyDescent="0.3">
      <c r="A19" t="e" vm="18">
        <f>_xlfn.IMAGE("https://www.google.com/s2/favicons?domain=blissim.fr&amp;sz=128","Blissim favicon")</f>
        <v>#VALUE!</v>
      </c>
      <c r="B19" s="2" t="s">
        <v>156</v>
      </c>
      <c r="C19" s="2" t="s">
        <v>28</v>
      </c>
      <c r="D19" s="2" t="s">
        <v>76</v>
      </c>
      <c r="E19" s="2" t="s">
        <v>30</v>
      </c>
      <c r="F19" s="2" t="s">
        <v>157</v>
      </c>
      <c r="G19" s="2" t="s">
        <v>158</v>
      </c>
      <c r="H19" s="2" t="s">
        <v>159</v>
      </c>
      <c r="I19" s="2" t="s">
        <v>34</v>
      </c>
      <c r="J19" s="2" t="s">
        <v>160</v>
      </c>
      <c r="K19" s="2" t="s">
        <v>161</v>
      </c>
      <c r="L19" s="2" t="s">
        <v>37</v>
      </c>
      <c r="M19" s="5">
        <v>46255</v>
      </c>
      <c r="N19" s="2" t="s">
        <v>66</v>
      </c>
    </row>
    <row r="20" spans="1:14" ht="43.2" x14ac:dyDescent="0.3">
      <c r="A20" t="e" vm="19">
        <f>_xlfn.IMAGE("https://www.google.com/s2/favicons?domain=careers.doctolib.fr&amp;sz=128","Doctolib favicon")</f>
        <v>#VALUE!</v>
      </c>
      <c r="B20" s="2" t="s">
        <v>162</v>
      </c>
      <c r="C20" s="2" t="s">
        <v>28</v>
      </c>
      <c r="D20" s="2" t="s">
        <v>163</v>
      </c>
      <c r="E20" s="2" t="s">
        <v>30</v>
      </c>
      <c r="F20" s="2" t="s">
        <v>164</v>
      </c>
      <c r="G20" s="2" t="s">
        <v>165</v>
      </c>
      <c r="H20" s="2" t="s">
        <v>166</v>
      </c>
      <c r="I20" s="2" t="s">
        <v>34</v>
      </c>
      <c r="J20" s="2" t="s">
        <v>167</v>
      </c>
      <c r="K20" s="2" t="s">
        <v>168</v>
      </c>
      <c r="L20" s="2" t="s">
        <v>37</v>
      </c>
      <c r="M20" s="5">
        <v>46255</v>
      </c>
      <c r="N20" s="2" t="s">
        <v>169</v>
      </c>
    </row>
    <row r="21" spans="1:14" ht="43.2" x14ac:dyDescent="0.3">
      <c r="A21" t="e" vm="20">
        <f>_xlfn.IMAGE("https://www.google.com/s2/favicons?domain=garantme.fr&amp;sz=128","Garantme favicon")</f>
        <v>#VALUE!</v>
      </c>
      <c r="B21" s="2" t="s">
        <v>170</v>
      </c>
      <c r="C21" s="2" t="s">
        <v>28</v>
      </c>
      <c r="D21" s="2" t="s">
        <v>106</v>
      </c>
      <c r="E21" s="2" t="s">
        <v>30</v>
      </c>
      <c r="F21" s="2" t="s">
        <v>171</v>
      </c>
      <c r="G21" s="2" t="s">
        <v>172</v>
      </c>
      <c r="H21" s="2" t="s">
        <v>173</v>
      </c>
      <c r="I21" s="2" t="s">
        <v>34</v>
      </c>
      <c r="J21" s="2" t="s">
        <v>174</v>
      </c>
      <c r="K21" s="2" t="s">
        <v>175</v>
      </c>
      <c r="L21" s="2" t="s">
        <v>37</v>
      </c>
      <c r="M21" s="5">
        <v>46255</v>
      </c>
      <c r="N21" s="2" t="s">
        <v>176</v>
      </c>
    </row>
    <row r="22" spans="1:14" ht="28.8" x14ac:dyDescent="0.3">
      <c r="A22" t="e" vm="21">
        <f>_xlfn.IMAGE("https://www.google.com/s2/favicons?domain=tabobine.com&amp;sz=128","TABOBINE favicon")</f>
        <v>#VALUE!</v>
      </c>
      <c r="B22" s="2" t="s">
        <v>177</v>
      </c>
      <c r="C22" s="2" t="s">
        <v>28</v>
      </c>
      <c r="D22" s="2" t="s">
        <v>98</v>
      </c>
      <c r="E22" s="2" t="s">
        <v>30</v>
      </c>
      <c r="F22" s="2" t="s">
        <v>178</v>
      </c>
      <c r="G22" s="2" t="s">
        <v>179</v>
      </c>
      <c r="H22" s="2" t="s">
        <v>180</v>
      </c>
      <c r="I22" s="2" t="s">
        <v>34</v>
      </c>
      <c r="J22" s="2" t="s">
        <v>181</v>
      </c>
      <c r="K22" s="2" t="s">
        <v>182</v>
      </c>
      <c r="L22" s="2" t="s">
        <v>37</v>
      </c>
      <c r="M22" s="5">
        <v>46255</v>
      </c>
      <c r="N22" s="2" t="s">
        <v>66</v>
      </c>
    </row>
    <row r="23" spans="1:14" ht="43.2" x14ac:dyDescent="0.3">
      <c r="A23" t="e" vm="22">
        <f>_xlfn.IMAGE("https://www.google.com/s2/favicons?domain=proton.me&amp;sz=128","Proton favicon")</f>
        <v>#VALUE!</v>
      </c>
      <c r="B23" s="2" t="s">
        <v>183</v>
      </c>
      <c r="C23" s="2" t="s">
        <v>28</v>
      </c>
      <c r="D23" s="2" t="s">
        <v>29</v>
      </c>
      <c r="E23" s="2" t="s">
        <v>30</v>
      </c>
      <c r="F23" s="2" t="s">
        <v>184</v>
      </c>
      <c r="G23" s="2" t="s">
        <v>185</v>
      </c>
      <c r="H23" s="2" t="s">
        <v>186</v>
      </c>
      <c r="I23" s="2" t="s">
        <v>34</v>
      </c>
      <c r="J23" s="2" t="s">
        <v>187</v>
      </c>
      <c r="K23" s="2" t="s">
        <v>188</v>
      </c>
      <c r="L23" s="2" t="s">
        <v>37</v>
      </c>
      <c r="M23" s="5">
        <v>46255</v>
      </c>
      <c r="N23" s="2" t="s">
        <v>155</v>
      </c>
    </row>
    <row r="24" spans="1:14" ht="43.2" x14ac:dyDescent="0.3">
      <c r="A24" s="2" t="e" vm="23">
        <v>#VALUE!</v>
      </c>
      <c r="B24" s="2" t="s">
        <v>189</v>
      </c>
      <c r="C24" s="2" t="s">
        <v>28</v>
      </c>
      <c r="D24" s="2" t="s">
        <v>190</v>
      </c>
      <c r="E24" s="2" t="s">
        <v>30</v>
      </c>
      <c r="F24" s="2" t="s">
        <v>191</v>
      </c>
      <c r="G24" s="2" t="s">
        <v>192</v>
      </c>
      <c r="H24" s="2" t="s">
        <v>193</v>
      </c>
      <c r="I24" s="2" t="s">
        <v>34</v>
      </c>
      <c r="J24" s="2" t="s">
        <v>194</v>
      </c>
      <c r="K24" s="2" t="s">
        <v>195</v>
      </c>
      <c r="L24" s="2" t="s">
        <v>37</v>
      </c>
      <c r="M24" s="5">
        <v>46255</v>
      </c>
      <c r="N24" s="2" t="s">
        <v>196</v>
      </c>
    </row>
    <row r="25" spans="1:14" ht="43.2" x14ac:dyDescent="0.3">
      <c r="A25" t="e" vm="24">
        <f>_xlfn.IMAGE("https://www.google.com/s2/favicons?domain=joko.com&amp;sz=128","Joko favicon")</f>
        <v>#VALUE!</v>
      </c>
      <c r="B25" s="2" t="s">
        <v>197</v>
      </c>
      <c r="C25" s="2" t="s">
        <v>28</v>
      </c>
      <c r="D25" s="2" t="s">
        <v>29</v>
      </c>
      <c r="E25" s="2" t="s">
        <v>30</v>
      </c>
      <c r="F25" s="2" t="s">
        <v>198</v>
      </c>
      <c r="G25" s="2" t="s">
        <v>199</v>
      </c>
      <c r="H25" s="2" t="s">
        <v>200</v>
      </c>
      <c r="I25" s="2" t="s">
        <v>34</v>
      </c>
      <c r="J25" s="2" t="s">
        <v>201</v>
      </c>
      <c r="K25" s="2" t="s">
        <v>202</v>
      </c>
      <c r="L25" s="2" t="s">
        <v>37</v>
      </c>
      <c r="M25" s="5">
        <v>46255</v>
      </c>
      <c r="N25" s="2" t="s">
        <v>203</v>
      </c>
    </row>
    <row r="26" spans="1:14" ht="43.2" x14ac:dyDescent="0.3">
      <c r="A26" t="e" vm="25">
        <f>_xlfn.IMAGE("https://www.google.com/s2/favicons?domain=singulier.co&amp;sz=128","Singulier favicon")</f>
        <v>#VALUE!</v>
      </c>
      <c r="B26" s="2" t="s">
        <v>204</v>
      </c>
      <c r="C26" s="2" t="s">
        <v>28</v>
      </c>
      <c r="D26" s="2" t="s">
        <v>29</v>
      </c>
      <c r="E26" s="2" t="s">
        <v>30</v>
      </c>
      <c r="F26" s="2" t="s">
        <v>205</v>
      </c>
      <c r="G26" s="2" t="s">
        <v>206</v>
      </c>
      <c r="H26" s="2" t="s">
        <v>207</v>
      </c>
      <c r="I26" s="2" t="s">
        <v>34</v>
      </c>
      <c r="J26" s="2" t="s">
        <v>208</v>
      </c>
      <c r="K26" s="2" t="s">
        <v>209</v>
      </c>
      <c r="L26" s="2" t="s">
        <v>37</v>
      </c>
      <c r="M26" s="5">
        <v>46255</v>
      </c>
      <c r="N26" s="2" t="s">
        <v>210</v>
      </c>
    </row>
    <row r="27" spans="1:14" ht="43.2" x14ac:dyDescent="0.3">
      <c r="A27" t="e" vm="26">
        <f>_xlfn.IMAGE("https://www.google.com/s2/favicons?domain=front.com&amp;sz=128","Front favicon")</f>
        <v>#VALUE!</v>
      </c>
      <c r="B27" s="2" t="s">
        <v>211</v>
      </c>
      <c r="C27" s="2" t="s">
        <v>28</v>
      </c>
      <c r="D27" s="2" t="s">
        <v>29</v>
      </c>
      <c r="E27" s="2" t="s">
        <v>30</v>
      </c>
      <c r="F27" s="2" t="s">
        <v>212</v>
      </c>
      <c r="G27" s="2" t="s">
        <v>32</v>
      </c>
      <c r="H27" s="2" t="s">
        <v>213</v>
      </c>
      <c r="I27" s="2" t="s">
        <v>34</v>
      </c>
      <c r="J27" s="2" t="s">
        <v>214</v>
      </c>
      <c r="K27" s="2" t="s">
        <v>215</v>
      </c>
      <c r="L27" s="2" t="s">
        <v>37</v>
      </c>
      <c r="M27" s="5">
        <v>46255</v>
      </c>
      <c r="N27" s="2" t="s">
        <v>216</v>
      </c>
    </row>
    <row r="28" spans="1:14" ht="43.2" x14ac:dyDescent="0.3">
      <c r="A28" t="e" vm="27">
        <v>#VALUE!</v>
      </c>
      <c r="B28" s="2" t="s">
        <v>217</v>
      </c>
      <c r="C28" s="2" t="s">
        <v>28</v>
      </c>
      <c r="D28" s="2" t="s">
        <v>29</v>
      </c>
      <c r="E28" s="2" t="s">
        <v>30</v>
      </c>
      <c r="F28" s="2" t="s">
        <v>218</v>
      </c>
      <c r="G28" s="2" t="s">
        <v>219</v>
      </c>
      <c r="H28" s="2" t="s">
        <v>220</v>
      </c>
      <c r="I28" s="2" t="s">
        <v>34</v>
      </c>
      <c r="J28" s="2" t="s">
        <v>221</v>
      </c>
      <c r="K28" s="2" t="s">
        <v>222</v>
      </c>
      <c r="L28" s="2" t="s">
        <v>37</v>
      </c>
      <c r="M28" s="5">
        <v>46255</v>
      </c>
      <c r="N28" s="2" t="s">
        <v>223</v>
      </c>
    </row>
    <row r="29" spans="1:14" ht="43.2" x14ac:dyDescent="0.3">
      <c r="A29" t="e" vm="28">
        <v>#VALUE!</v>
      </c>
      <c r="B29" s="2" t="s">
        <v>224</v>
      </c>
      <c r="C29" s="2" t="s">
        <v>28</v>
      </c>
      <c r="D29" s="2" t="s">
        <v>225</v>
      </c>
      <c r="E29" s="2" t="s">
        <v>30</v>
      </c>
      <c r="F29" s="2" t="s">
        <v>226</v>
      </c>
      <c r="G29" s="2" t="s">
        <v>227</v>
      </c>
      <c r="H29" s="2" t="s">
        <v>228</v>
      </c>
      <c r="I29" s="2" t="s">
        <v>34</v>
      </c>
      <c r="J29" s="2" t="s">
        <v>229</v>
      </c>
      <c r="K29" s="2" t="s">
        <v>222</v>
      </c>
      <c r="L29" s="2" t="s">
        <v>37</v>
      </c>
      <c r="M29" s="5">
        <v>46255</v>
      </c>
      <c r="N29" s="2" t="s">
        <v>230</v>
      </c>
    </row>
    <row r="30" spans="1:14" ht="43.2" x14ac:dyDescent="0.3">
      <c r="A30" t="e" vm="29">
        <f>_xlfn.IMAGE("https://www.google.com/s2/favicons?domain=tiktok.com&amp;sz=128","TikTok favicon")</f>
        <v>#VALUE!</v>
      </c>
      <c r="B30" s="2" t="s">
        <v>231</v>
      </c>
      <c r="C30" s="2" t="s">
        <v>28</v>
      </c>
      <c r="D30" s="2" t="s">
        <v>29</v>
      </c>
      <c r="E30" s="2" t="s">
        <v>30</v>
      </c>
      <c r="F30" s="2" t="s">
        <v>232</v>
      </c>
      <c r="G30" s="2" t="s">
        <v>233</v>
      </c>
      <c r="H30" s="2" t="s">
        <v>234</v>
      </c>
      <c r="I30" s="2" t="s">
        <v>34</v>
      </c>
      <c r="J30" s="2" t="s">
        <v>235</v>
      </c>
      <c r="K30" s="2" t="s">
        <v>236</v>
      </c>
      <c r="L30" s="2" t="s">
        <v>37</v>
      </c>
      <c r="M30" s="5">
        <v>46255</v>
      </c>
      <c r="N30" s="2" t="s">
        <v>237</v>
      </c>
    </row>
  </sheetData>
  <autoFilter ref="A1:N30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1"/>
  <sheetViews>
    <sheetView tabSelected="1" workbookViewId="0">
      <pane ySplit="1" topLeftCell="A15" activePane="bottomLeft" state="frozen"/>
      <selection pane="bottomLeft" activeCell="B22" sqref="B22"/>
    </sheetView>
  </sheetViews>
  <sheetFormatPr defaultRowHeight="14.4" x14ac:dyDescent="0.3"/>
  <cols>
    <col min="1" max="1" width="18" customWidth="1"/>
    <col min="2" max="2" width="22" customWidth="1"/>
    <col min="3" max="4" width="24" customWidth="1"/>
    <col min="5" max="5" width="20" customWidth="1"/>
    <col min="6" max="6" width="28" customWidth="1"/>
    <col min="7" max="7" width="42" customWidth="1"/>
    <col min="8" max="8" width="48" customWidth="1"/>
    <col min="9" max="9" width="30" customWidth="1"/>
    <col min="10" max="10" width="55" customWidth="1"/>
    <col min="11" max="11" width="42" customWidth="1"/>
    <col min="12" max="12" width="24" customWidth="1"/>
    <col min="13" max="13" width="16" customWidth="1"/>
    <col min="14" max="14" width="75" customWidth="1"/>
  </cols>
  <sheetData>
    <row r="1" spans="1:14" ht="31.95" customHeight="1" x14ac:dyDescent="0.3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L1" s="4" t="s">
        <v>24</v>
      </c>
      <c r="M1" s="4" t="s">
        <v>25</v>
      </c>
      <c r="N1" s="4" t="s">
        <v>26</v>
      </c>
    </row>
    <row r="2" spans="1:14" ht="43.2" x14ac:dyDescent="0.3">
      <c r="A2" t="e" vm="30">
        <f>_xlfn.IMAGE("https://www.google.com/s2/favicons?domain=mistral.ai&amp;sz=128","Mistral AI favicon")</f>
        <v>#VALUE!</v>
      </c>
      <c r="B2" s="2" t="s">
        <v>238</v>
      </c>
      <c r="C2" s="2" t="s">
        <v>239</v>
      </c>
      <c r="D2" s="2" t="s">
        <v>29</v>
      </c>
      <c r="E2" s="2" t="s">
        <v>30</v>
      </c>
      <c r="F2" s="2" t="s">
        <v>218</v>
      </c>
      <c r="G2" s="2" t="s">
        <v>240</v>
      </c>
      <c r="H2" s="2" t="s">
        <v>241</v>
      </c>
      <c r="I2" s="2" t="s">
        <v>34</v>
      </c>
      <c r="J2" s="2" t="s">
        <v>242</v>
      </c>
      <c r="K2" s="2" t="s">
        <v>243</v>
      </c>
      <c r="L2" s="2" t="s">
        <v>37</v>
      </c>
      <c r="M2" s="5">
        <v>46255</v>
      </c>
      <c r="N2" s="2" t="s">
        <v>53</v>
      </c>
    </row>
    <row r="3" spans="1:14" ht="43.2" x14ac:dyDescent="0.3">
      <c r="A3" t="e" vm="1">
        <v>#VALUE!</v>
      </c>
      <c r="B3" s="2" t="s">
        <v>27</v>
      </c>
      <c r="C3" s="2" t="s">
        <v>239</v>
      </c>
      <c r="D3" s="2" t="s">
        <v>29</v>
      </c>
      <c r="E3" s="2" t="s">
        <v>30</v>
      </c>
      <c r="F3" s="2" t="s">
        <v>31</v>
      </c>
      <c r="G3" s="2" t="s">
        <v>244</v>
      </c>
      <c r="H3" s="2" t="s">
        <v>33</v>
      </c>
      <c r="I3" s="2" t="s">
        <v>34</v>
      </c>
      <c r="J3" s="2" t="s">
        <v>245</v>
      </c>
      <c r="K3" s="2" t="s">
        <v>36</v>
      </c>
      <c r="L3" s="2" t="s">
        <v>37</v>
      </c>
      <c r="M3" s="5">
        <v>46255</v>
      </c>
      <c r="N3" s="2" t="s">
        <v>246</v>
      </c>
    </row>
    <row r="4" spans="1:14" ht="28.8" x14ac:dyDescent="0.3">
      <c r="A4" t="e" vm="2">
        <v>#VALUE!</v>
      </c>
      <c r="B4" s="2" t="s">
        <v>39</v>
      </c>
      <c r="C4" s="2" t="s">
        <v>239</v>
      </c>
      <c r="D4" s="2" t="s">
        <v>29</v>
      </c>
      <c r="E4" s="2" t="s">
        <v>30</v>
      </c>
      <c r="F4" s="2" t="s">
        <v>41</v>
      </c>
      <c r="G4" s="2" t="s">
        <v>247</v>
      </c>
      <c r="H4" s="2" t="s">
        <v>43</v>
      </c>
      <c r="I4" s="2" t="s">
        <v>34</v>
      </c>
      <c r="J4" s="2" t="s">
        <v>248</v>
      </c>
      <c r="K4" s="2" t="s">
        <v>45</v>
      </c>
      <c r="L4" s="2" t="s">
        <v>37</v>
      </c>
      <c r="M4" s="5">
        <v>46255</v>
      </c>
      <c r="N4" s="2" t="s">
        <v>249</v>
      </c>
    </row>
    <row r="5" spans="1:14" ht="43.2" x14ac:dyDescent="0.3">
      <c r="A5" t="e" vm="31">
        <v>#VALUE!</v>
      </c>
      <c r="B5" s="2" t="s">
        <v>250</v>
      </c>
      <c r="C5" s="2" t="s">
        <v>239</v>
      </c>
      <c r="D5" s="2" t="s">
        <v>29</v>
      </c>
      <c r="E5" s="2" t="s">
        <v>30</v>
      </c>
      <c r="F5" s="2" t="s">
        <v>251</v>
      </c>
      <c r="G5" s="2" t="s">
        <v>252</v>
      </c>
      <c r="H5" s="2" t="s">
        <v>253</v>
      </c>
      <c r="I5" s="2" t="s">
        <v>34</v>
      </c>
      <c r="J5" s="2" t="s">
        <v>254</v>
      </c>
      <c r="K5" s="2" t="s">
        <v>255</v>
      </c>
      <c r="L5" s="2" t="s">
        <v>37</v>
      </c>
      <c r="M5" s="5">
        <v>46255</v>
      </c>
      <c r="N5" s="2" t="s">
        <v>256</v>
      </c>
    </row>
    <row r="6" spans="1:14" ht="43.2" x14ac:dyDescent="0.3">
      <c r="A6" t="e" vm="32">
        <f>_xlfn.IMAGE("https://www.google.com/s2/favicons?domain=inato.com&amp;sz=128","Inato favicon")</f>
        <v>#VALUE!</v>
      </c>
      <c r="B6" s="2" t="s">
        <v>257</v>
      </c>
      <c r="C6" s="2" t="s">
        <v>239</v>
      </c>
      <c r="D6" s="2" t="s">
        <v>258</v>
      </c>
      <c r="E6" s="2" t="s">
        <v>30</v>
      </c>
      <c r="F6" s="2" t="s">
        <v>259</v>
      </c>
      <c r="G6" s="2" t="s">
        <v>260</v>
      </c>
      <c r="H6" s="2" t="s">
        <v>261</v>
      </c>
      <c r="I6" s="2" t="s">
        <v>34</v>
      </c>
      <c r="J6" s="2" t="s">
        <v>262</v>
      </c>
      <c r="K6" s="2" t="s">
        <v>263</v>
      </c>
      <c r="L6" s="2" t="s">
        <v>37</v>
      </c>
      <c r="M6" s="5">
        <v>46255</v>
      </c>
      <c r="N6" s="2" t="s">
        <v>264</v>
      </c>
    </row>
    <row r="7" spans="1:14" ht="43.2" x14ac:dyDescent="0.3">
      <c r="A7" t="e" vm="33">
        <f>_xlfn.IMAGE("https://www.google.com/s2/favicons?domain=dust.tt&amp;sz=128","Dust favicon")</f>
        <v>#VALUE!</v>
      </c>
      <c r="B7" s="2" t="s">
        <v>265</v>
      </c>
      <c r="C7" s="2" t="s">
        <v>239</v>
      </c>
      <c r="D7" s="2" t="s">
        <v>29</v>
      </c>
      <c r="E7" s="2" t="s">
        <v>30</v>
      </c>
      <c r="F7" s="2" t="s">
        <v>218</v>
      </c>
      <c r="G7" s="2" t="s">
        <v>266</v>
      </c>
      <c r="H7" s="2" t="s">
        <v>267</v>
      </c>
      <c r="I7" s="2" t="s">
        <v>34</v>
      </c>
      <c r="J7" s="2" t="s">
        <v>268</v>
      </c>
      <c r="K7" s="2" t="s">
        <v>269</v>
      </c>
      <c r="L7" s="2" t="s">
        <v>37</v>
      </c>
      <c r="M7" s="5">
        <v>46255</v>
      </c>
      <c r="N7" s="2" t="s">
        <v>270</v>
      </c>
    </row>
    <row r="8" spans="1:14" ht="43.2" x14ac:dyDescent="0.3">
      <c r="A8" t="e" vm="34">
        <f>_xlfn.IMAGE("https://www.google.com/s2/favicons?domain=amo.co&amp;sz=128","amo / Bump favicon")</f>
        <v>#VALUE!</v>
      </c>
      <c r="B8" s="2" t="s">
        <v>271</v>
      </c>
      <c r="C8" s="2" t="s">
        <v>239</v>
      </c>
      <c r="D8" s="2" t="s">
        <v>29</v>
      </c>
      <c r="E8" s="2" t="s">
        <v>30</v>
      </c>
      <c r="F8" s="2" t="s">
        <v>272</v>
      </c>
      <c r="G8" s="2" t="s">
        <v>273</v>
      </c>
      <c r="H8" s="2" t="s">
        <v>274</v>
      </c>
      <c r="I8" s="2" t="s">
        <v>34</v>
      </c>
      <c r="J8" s="2" t="s">
        <v>275</v>
      </c>
      <c r="K8" s="2" t="s">
        <v>276</v>
      </c>
      <c r="L8" s="2" t="s">
        <v>37</v>
      </c>
      <c r="M8" s="5">
        <v>46255</v>
      </c>
      <c r="N8" s="2" t="s">
        <v>277</v>
      </c>
    </row>
    <row r="9" spans="1:14" ht="43.2" x14ac:dyDescent="0.3">
      <c r="A9" t="e" vm="35">
        <f>_xlfn.IMAGE("https://www.google.com/s2/favicons?domain=altaares.com&amp;sz=128","Alta Ares favicon")</f>
        <v>#VALUE!</v>
      </c>
      <c r="B9" s="2" t="s">
        <v>278</v>
      </c>
      <c r="C9" s="2" t="s">
        <v>239</v>
      </c>
      <c r="D9" s="2" t="s">
        <v>29</v>
      </c>
      <c r="E9" s="2" t="s">
        <v>30</v>
      </c>
      <c r="F9" s="2" t="s">
        <v>279</v>
      </c>
      <c r="G9" s="2" t="s">
        <v>280</v>
      </c>
      <c r="H9" s="2" t="s">
        <v>281</v>
      </c>
      <c r="I9" s="2" t="s">
        <v>34</v>
      </c>
      <c r="J9" s="2" t="s">
        <v>282</v>
      </c>
      <c r="K9" s="2" t="s">
        <v>283</v>
      </c>
      <c r="L9" s="2" t="s">
        <v>37</v>
      </c>
      <c r="M9" s="5">
        <v>46255</v>
      </c>
      <c r="N9" s="2" t="s">
        <v>284</v>
      </c>
    </row>
    <row r="10" spans="1:14" ht="43.2" x14ac:dyDescent="0.3">
      <c r="A10" t="e" vm="36">
        <f>_xlfn.IMAGE("https://www.google.com/s2/favicons?domain=pivotapp.ai&amp;sz=128","Pivot favicon")</f>
        <v>#VALUE!</v>
      </c>
      <c r="B10" s="2" t="s">
        <v>285</v>
      </c>
      <c r="C10" s="2" t="s">
        <v>239</v>
      </c>
      <c r="D10" s="2" t="s">
        <v>29</v>
      </c>
      <c r="E10" s="2" t="s">
        <v>30</v>
      </c>
      <c r="F10" s="2" t="s">
        <v>286</v>
      </c>
      <c r="G10" s="2" t="s">
        <v>287</v>
      </c>
      <c r="H10" s="2" t="s">
        <v>288</v>
      </c>
      <c r="I10" s="2" t="s">
        <v>34</v>
      </c>
      <c r="J10" s="2" t="s">
        <v>289</v>
      </c>
      <c r="K10" s="2" t="s">
        <v>290</v>
      </c>
      <c r="L10" s="2" t="s">
        <v>37</v>
      </c>
      <c r="M10" s="5">
        <v>46255</v>
      </c>
      <c r="N10" s="2" t="s">
        <v>270</v>
      </c>
    </row>
    <row r="11" spans="1:14" ht="43.2" x14ac:dyDescent="0.3">
      <c r="A11" t="e" vm="4">
        <f>_xlfn.IMAGE("https://www.google.com/s2/favicons?domain=qonto.com&amp;sz=128","Qonto favicon")</f>
        <v>#VALUE!</v>
      </c>
      <c r="B11" s="2" t="s">
        <v>54</v>
      </c>
      <c r="C11" s="2" t="s">
        <v>239</v>
      </c>
      <c r="D11" s="2" t="s">
        <v>29</v>
      </c>
      <c r="E11" s="2" t="s">
        <v>30</v>
      </c>
      <c r="F11" s="2" t="s">
        <v>55</v>
      </c>
      <c r="G11" s="2" t="s">
        <v>291</v>
      </c>
      <c r="H11" s="2" t="s">
        <v>57</v>
      </c>
      <c r="I11" s="2" t="s">
        <v>34</v>
      </c>
      <c r="J11" s="2" t="s">
        <v>292</v>
      </c>
      <c r="K11" s="2" t="s">
        <v>59</v>
      </c>
      <c r="L11" s="2" t="s">
        <v>37</v>
      </c>
      <c r="M11" s="5">
        <v>46255</v>
      </c>
      <c r="N11" s="2" t="s">
        <v>293</v>
      </c>
    </row>
    <row r="12" spans="1:14" ht="43.2" x14ac:dyDescent="0.3">
      <c r="A12" t="e" vm="37">
        <f>_xlfn.IMAGE("https://www.google.com/s2/favicons?domain=jobs.blablacar.com&amp;sz=128","BlaBlaCar favicon")</f>
        <v>#VALUE!</v>
      </c>
      <c r="B12" s="2" t="s">
        <v>294</v>
      </c>
      <c r="C12" s="2" t="s">
        <v>239</v>
      </c>
      <c r="D12" s="2" t="s">
        <v>29</v>
      </c>
      <c r="E12" s="2" t="s">
        <v>30</v>
      </c>
      <c r="F12" s="2" t="s">
        <v>295</v>
      </c>
      <c r="G12" s="2" t="s">
        <v>296</v>
      </c>
      <c r="H12" s="2" t="s">
        <v>297</v>
      </c>
      <c r="I12" s="2" t="s">
        <v>34</v>
      </c>
      <c r="J12" s="2" t="s">
        <v>298</v>
      </c>
      <c r="K12" s="2" t="s">
        <v>299</v>
      </c>
      <c r="L12" s="2" t="s">
        <v>37</v>
      </c>
      <c r="M12" s="5">
        <v>46255</v>
      </c>
      <c r="N12" s="2" t="s">
        <v>300</v>
      </c>
    </row>
    <row r="13" spans="1:14" ht="28.8" x14ac:dyDescent="0.3">
      <c r="A13" t="e" vm="5">
        <f>_xlfn.IMAGE("https://www.google.com/s2/favicons?domain=malt.com&amp;sz=128","Malt favicon")</f>
        <v>#VALUE!</v>
      </c>
      <c r="B13" s="2" t="s">
        <v>60</v>
      </c>
      <c r="C13" s="2" t="s">
        <v>239</v>
      </c>
      <c r="D13" s="2" t="s">
        <v>29</v>
      </c>
      <c r="E13" s="2" t="s">
        <v>30</v>
      </c>
      <c r="F13" s="2" t="s">
        <v>61</v>
      </c>
      <c r="G13" s="2" t="s">
        <v>301</v>
      </c>
      <c r="H13" s="2" t="s">
        <v>63</v>
      </c>
      <c r="I13" s="2" t="s">
        <v>34</v>
      </c>
      <c r="J13" s="2" t="s">
        <v>302</v>
      </c>
      <c r="K13" s="2" t="s">
        <v>65</v>
      </c>
      <c r="L13" s="2" t="s">
        <v>37</v>
      </c>
      <c r="M13" s="5">
        <v>46255</v>
      </c>
      <c r="N13" s="2" t="s">
        <v>303</v>
      </c>
    </row>
    <row r="14" spans="1:14" ht="43.2" x14ac:dyDescent="0.3">
      <c r="A14" t="e" vm="19">
        <f>_xlfn.IMAGE("https://www.google.com/s2/favicons?domain=careers.doctolib.fr&amp;sz=128","Doctolib favicon")</f>
        <v>#VALUE!</v>
      </c>
      <c r="B14" s="2" t="s">
        <v>162</v>
      </c>
      <c r="C14" s="2" t="s">
        <v>239</v>
      </c>
      <c r="D14" s="2" t="s">
        <v>163</v>
      </c>
      <c r="E14" s="2" t="s">
        <v>30</v>
      </c>
      <c r="F14" s="2" t="s">
        <v>164</v>
      </c>
      <c r="G14" s="2" t="s">
        <v>304</v>
      </c>
      <c r="H14" s="2" t="s">
        <v>166</v>
      </c>
      <c r="I14" s="2" t="s">
        <v>34</v>
      </c>
      <c r="J14" s="2" t="s">
        <v>168</v>
      </c>
      <c r="K14" s="2" t="s">
        <v>168</v>
      </c>
      <c r="L14" s="2" t="s">
        <v>37</v>
      </c>
      <c r="M14" s="5">
        <v>46255</v>
      </c>
      <c r="N14" s="2" t="s">
        <v>305</v>
      </c>
    </row>
    <row r="15" spans="1:14" ht="43.2" x14ac:dyDescent="0.3">
      <c r="A15" t="e" vm="7">
        <f>_xlfn.IMAGE("https://www.google.com/s2/favicons?domain=aircall.io&amp;sz=128","Aircall favicon")</f>
        <v>#VALUE!</v>
      </c>
      <c r="B15" s="2" t="s">
        <v>75</v>
      </c>
      <c r="C15" s="2" t="s">
        <v>239</v>
      </c>
      <c r="D15" s="2" t="s">
        <v>29</v>
      </c>
      <c r="E15" s="2" t="s">
        <v>30</v>
      </c>
      <c r="F15" s="2" t="s">
        <v>77</v>
      </c>
      <c r="G15" s="2" t="s">
        <v>306</v>
      </c>
      <c r="H15" s="2" t="s">
        <v>79</v>
      </c>
      <c r="I15" s="2" t="s">
        <v>34</v>
      </c>
      <c r="J15" s="2" t="s">
        <v>81</v>
      </c>
      <c r="K15" s="2" t="s">
        <v>81</v>
      </c>
      <c r="L15" s="2" t="s">
        <v>37</v>
      </c>
      <c r="M15" s="5">
        <v>46255</v>
      </c>
      <c r="N15" s="2" t="s">
        <v>307</v>
      </c>
    </row>
    <row r="16" spans="1:14" ht="43.2" x14ac:dyDescent="0.3">
      <c r="A16" t="e" vm="3">
        <f>_xlfn.IMAGE("https://www.google.com/s2/favicons?domain=pigment.com&amp;sz=128","Pigment favicon")</f>
        <v>#VALUE!</v>
      </c>
      <c r="B16" s="2" t="s">
        <v>47</v>
      </c>
      <c r="C16" s="2" t="s">
        <v>239</v>
      </c>
      <c r="D16" s="2" t="s">
        <v>29</v>
      </c>
      <c r="E16" s="2" t="s">
        <v>30</v>
      </c>
      <c r="F16" s="2" t="s">
        <v>308</v>
      </c>
      <c r="G16" s="2" t="s">
        <v>309</v>
      </c>
      <c r="H16" s="2" t="s">
        <v>50</v>
      </c>
      <c r="I16" s="2" t="s">
        <v>34</v>
      </c>
      <c r="J16" s="2" t="s">
        <v>51</v>
      </c>
      <c r="K16" s="2" t="s">
        <v>52</v>
      </c>
      <c r="L16" s="2" t="s">
        <v>37</v>
      </c>
      <c r="M16" s="5">
        <v>46255</v>
      </c>
      <c r="N16" s="2" t="s">
        <v>270</v>
      </c>
    </row>
    <row r="17" spans="1:14" ht="43.2" x14ac:dyDescent="0.3">
      <c r="A17" t="e" vm="8">
        <f>_xlfn.IMAGE("https://www.google.com/s2/favicons?domain=voodoo.io&amp;sz=128","Voodoo favicon")</f>
        <v>#VALUE!</v>
      </c>
      <c r="B17" s="2" t="s">
        <v>83</v>
      </c>
      <c r="C17" s="2" t="s">
        <v>239</v>
      </c>
      <c r="D17" s="2" t="s">
        <v>29</v>
      </c>
      <c r="E17" s="2" t="s">
        <v>30</v>
      </c>
      <c r="F17" s="2" t="s">
        <v>84</v>
      </c>
      <c r="G17" s="2" t="s">
        <v>310</v>
      </c>
      <c r="H17" s="2" t="s">
        <v>86</v>
      </c>
      <c r="I17" s="2" t="s">
        <v>34</v>
      </c>
      <c r="J17" s="2" t="s">
        <v>88</v>
      </c>
      <c r="K17" s="2" t="s">
        <v>88</v>
      </c>
      <c r="L17" s="2" t="s">
        <v>37</v>
      </c>
      <c r="M17" s="5">
        <v>46255</v>
      </c>
      <c r="N17" s="2" t="s">
        <v>311</v>
      </c>
    </row>
    <row r="18" spans="1:14" ht="43.2" x14ac:dyDescent="0.3">
      <c r="A18" t="e" vm="26">
        <f>_xlfn.IMAGE("https://www.google.com/s2/favicons?domain=front.com&amp;sz=128","Front favicon")</f>
        <v>#VALUE!</v>
      </c>
      <c r="B18" s="2" t="s">
        <v>211</v>
      </c>
      <c r="C18" s="2" t="s">
        <v>239</v>
      </c>
      <c r="D18" s="2" t="s">
        <v>29</v>
      </c>
      <c r="E18" s="2" t="s">
        <v>30</v>
      </c>
      <c r="F18" s="2" t="s">
        <v>212</v>
      </c>
      <c r="G18" s="2" t="s">
        <v>312</v>
      </c>
      <c r="H18" s="2" t="s">
        <v>213</v>
      </c>
      <c r="I18" s="2" t="s">
        <v>34</v>
      </c>
      <c r="J18" s="2" t="s">
        <v>313</v>
      </c>
      <c r="K18" s="2" t="s">
        <v>215</v>
      </c>
      <c r="L18" s="2" t="s">
        <v>37</v>
      </c>
      <c r="M18" s="5">
        <v>46255</v>
      </c>
      <c r="N18" s="2" t="s">
        <v>314</v>
      </c>
    </row>
    <row r="19" spans="1:14" ht="43.2" x14ac:dyDescent="0.3">
      <c r="A19" t="e" vm="38">
        <f>_xlfn.IMAGE("https://www.google.com/s2/favicons?domain=akur8.com&amp;sz=128","Akur8 favicon")</f>
        <v>#VALUE!</v>
      </c>
      <c r="B19" s="2" t="s">
        <v>315</v>
      </c>
      <c r="C19" s="2" t="s">
        <v>239</v>
      </c>
      <c r="D19" s="2" t="s">
        <v>29</v>
      </c>
      <c r="E19" s="2" t="s">
        <v>30</v>
      </c>
      <c r="F19" s="2" t="s">
        <v>316</v>
      </c>
      <c r="G19" s="2" t="s">
        <v>317</v>
      </c>
      <c r="H19" s="2" t="s">
        <v>318</v>
      </c>
      <c r="I19" s="2" t="s">
        <v>34</v>
      </c>
      <c r="J19" s="2" t="s">
        <v>319</v>
      </c>
      <c r="K19" s="2" t="s">
        <v>319</v>
      </c>
      <c r="L19" s="2" t="s">
        <v>37</v>
      </c>
      <c r="M19" s="5">
        <v>46255</v>
      </c>
      <c r="N19" s="2" t="s">
        <v>320</v>
      </c>
    </row>
    <row r="20" spans="1:14" ht="43.2" x14ac:dyDescent="0.3">
      <c r="A20" t="e" vm="39">
        <f>_xlfn.IMAGE("https://www.google.com/s2/favicons?domain=sorare.com&amp;sz=128","Sorare favicon")</f>
        <v>#VALUE!</v>
      </c>
      <c r="B20" s="2" t="s">
        <v>321</v>
      </c>
      <c r="C20" s="2" t="s">
        <v>239</v>
      </c>
      <c r="D20" s="2" t="s">
        <v>29</v>
      </c>
      <c r="E20" s="2" t="s">
        <v>30</v>
      </c>
      <c r="F20" s="2" t="s">
        <v>322</v>
      </c>
      <c r="G20" s="2" t="s">
        <v>323</v>
      </c>
      <c r="H20" s="2" t="s">
        <v>324</v>
      </c>
      <c r="I20" s="2" t="s">
        <v>34</v>
      </c>
      <c r="J20" s="2" t="s">
        <v>325</v>
      </c>
      <c r="K20" s="2" t="s">
        <v>326</v>
      </c>
      <c r="L20" s="2" t="s">
        <v>37</v>
      </c>
      <c r="M20" s="5">
        <v>46255</v>
      </c>
      <c r="N20" s="2" t="s">
        <v>270</v>
      </c>
    </row>
    <row r="21" spans="1:14" ht="43.2" x14ac:dyDescent="0.3">
      <c r="A21" t="e" vm="40">
        <f>_xlfn.IMAGE("https://www.google.com/s2/favicons?domain=scaleway.com&amp;sz=128","Scaleway favicon")</f>
        <v>#VALUE!</v>
      </c>
      <c r="B21" s="2" t="s">
        <v>327</v>
      </c>
      <c r="C21" s="2" t="s">
        <v>239</v>
      </c>
      <c r="D21" s="2" t="s">
        <v>29</v>
      </c>
      <c r="E21" s="2" t="s">
        <v>30</v>
      </c>
      <c r="F21" s="2" t="s">
        <v>328</v>
      </c>
      <c r="G21" s="2" t="s">
        <v>329</v>
      </c>
      <c r="H21" s="2" t="s">
        <v>330</v>
      </c>
      <c r="I21" s="2" t="s">
        <v>34</v>
      </c>
      <c r="J21" s="2" t="s">
        <v>331</v>
      </c>
      <c r="K21" s="2" t="s">
        <v>331</v>
      </c>
      <c r="L21" s="2" t="s">
        <v>37</v>
      </c>
      <c r="M21" s="5">
        <v>46255</v>
      </c>
      <c r="N21" s="2" t="s">
        <v>332</v>
      </c>
    </row>
  </sheetData>
  <autoFilter ref="A1:N2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83"/>
  <sheetViews>
    <sheetView workbookViewId="0">
      <pane ySplit="1" topLeftCell="A73" activePane="bottomLeft" state="frozen"/>
      <selection pane="bottomLeft" activeCell="A78" sqref="A78:A83"/>
    </sheetView>
  </sheetViews>
  <sheetFormatPr defaultRowHeight="14.4" x14ac:dyDescent="0.3"/>
  <cols>
    <col min="1" max="1" width="18" customWidth="1"/>
    <col min="2" max="2" width="22" customWidth="1"/>
    <col min="3" max="4" width="24" customWidth="1"/>
    <col min="5" max="5" width="20" customWidth="1"/>
    <col min="6" max="6" width="28" customWidth="1"/>
    <col min="7" max="7" width="42" customWidth="1"/>
    <col min="8" max="8" width="48" customWidth="1"/>
    <col min="9" max="9" width="30" customWidth="1"/>
    <col min="10" max="10" width="55" customWidth="1"/>
    <col min="11" max="11" width="42" customWidth="1"/>
    <col min="12" max="12" width="24" customWidth="1"/>
    <col min="13" max="13" width="16" customWidth="1"/>
    <col min="14" max="14" width="75" customWidth="1"/>
  </cols>
  <sheetData>
    <row r="1" spans="1:14" ht="31.95" customHeight="1" x14ac:dyDescent="0.3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L1" s="4" t="s">
        <v>24</v>
      </c>
      <c r="M1" s="4" t="s">
        <v>25</v>
      </c>
      <c r="N1" s="4" t="s">
        <v>26</v>
      </c>
    </row>
    <row r="2" spans="1:14" ht="57.6" x14ac:dyDescent="0.3">
      <c r="A2" t="e" vm="41">
        <v>#VALUE!</v>
      </c>
      <c r="B2" s="2" t="s">
        <v>333</v>
      </c>
      <c r="C2" s="2" t="s">
        <v>334</v>
      </c>
      <c r="D2" s="2" t="s">
        <v>335</v>
      </c>
      <c r="E2" s="2" t="s">
        <v>30</v>
      </c>
      <c r="F2" s="2" t="s">
        <v>336</v>
      </c>
      <c r="G2" s="2" t="s">
        <v>337</v>
      </c>
      <c r="H2" s="2" t="s">
        <v>338</v>
      </c>
      <c r="I2" s="2" t="s">
        <v>339</v>
      </c>
      <c r="J2" s="2" t="s">
        <v>340</v>
      </c>
      <c r="K2" s="2" t="s">
        <v>341</v>
      </c>
      <c r="L2" s="2" t="s">
        <v>37</v>
      </c>
      <c r="M2" s="5">
        <v>46255</v>
      </c>
      <c r="N2" s="2" t="s">
        <v>342</v>
      </c>
    </row>
    <row r="3" spans="1:14" ht="57.6" x14ac:dyDescent="0.3">
      <c r="A3" t="e" vm="41">
        <v>#VALUE!</v>
      </c>
      <c r="B3" s="2" t="s">
        <v>333</v>
      </c>
      <c r="C3" s="2" t="s">
        <v>334</v>
      </c>
      <c r="D3" s="2" t="s">
        <v>335</v>
      </c>
      <c r="E3" s="2" t="s">
        <v>30</v>
      </c>
      <c r="F3" s="2" t="s">
        <v>336</v>
      </c>
      <c r="G3" s="2" t="s">
        <v>337</v>
      </c>
      <c r="H3" s="2" t="s">
        <v>343</v>
      </c>
      <c r="I3" s="2" t="s">
        <v>339</v>
      </c>
      <c r="J3" s="2" t="s">
        <v>344</v>
      </c>
      <c r="K3" s="2" t="s">
        <v>341</v>
      </c>
      <c r="L3" s="2" t="s">
        <v>37</v>
      </c>
      <c r="M3" s="5">
        <v>46255</v>
      </c>
      <c r="N3" s="2" t="s">
        <v>345</v>
      </c>
    </row>
    <row r="4" spans="1:14" ht="57.6" x14ac:dyDescent="0.3">
      <c r="A4" t="e" vm="41">
        <v>#VALUE!</v>
      </c>
      <c r="B4" s="2" t="s">
        <v>333</v>
      </c>
      <c r="C4" s="2" t="s">
        <v>334</v>
      </c>
      <c r="D4" s="2" t="s">
        <v>335</v>
      </c>
      <c r="E4" s="2" t="s">
        <v>30</v>
      </c>
      <c r="F4" s="2" t="s">
        <v>336</v>
      </c>
      <c r="G4" s="2" t="s">
        <v>337</v>
      </c>
      <c r="H4" s="2" t="s">
        <v>346</v>
      </c>
      <c r="I4" s="2" t="s">
        <v>339</v>
      </c>
      <c r="J4" s="2" t="s">
        <v>347</v>
      </c>
      <c r="K4" s="2" t="s">
        <v>341</v>
      </c>
      <c r="L4" s="2" t="s">
        <v>37</v>
      </c>
      <c r="M4" s="5">
        <v>46255</v>
      </c>
      <c r="N4" s="2" t="s">
        <v>348</v>
      </c>
    </row>
    <row r="5" spans="1:14" ht="57.6" x14ac:dyDescent="0.3">
      <c r="A5" t="e" vm="41">
        <v>#VALUE!</v>
      </c>
      <c r="B5" s="2" t="s">
        <v>333</v>
      </c>
      <c r="C5" s="2" t="s">
        <v>334</v>
      </c>
      <c r="D5" s="2" t="s">
        <v>335</v>
      </c>
      <c r="E5" s="2" t="s">
        <v>30</v>
      </c>
      <c r="F5" s="2" t="s">
        <v>336</v>
      </c>
      <c r="G5" s="2" t="s">
        <v>337</v>
      </c>
      <c r="H5" s="2" t="s">
        <v>349</v>
      </c>
      <c r="I5" s="2" t="s">
        <v>339</v>
      </c>
      <c r="J5" s="2" t="s">
        <v>350</v>
      </c>
      <c r="K5" s="2" t="s">
        <v>341</v>
      </c>
      <c r="L5" s="2" t="s">
        <v>37</v>
      </c>
      <c r="M5" s="5">
        <v>46255</v>
      </c>
      <c r="N5" s="2" t="s">
        <v>351</v>
      </c>
    </row>
    <row r="6" spans="1:14" ht="57.6" x14ac:dyDescent="0.3">
      <c r="A6" t="e" vm="41">
        <v>#VALUE!</v>
      </c>
      <c r="B6" s="2" t="s">
        <v>333</v>
      </c>
      <c r="C6" s="2" t="s">
        <v>334</v>
      </c>
      <c r="D6" s="2" t="s">
        <v>335</v>
      </c>
      <c r="E6" s="2" t="s">
        <v>30</v>
      </c>
      <c r="F6" s="2" t="s">
        <v>336</v>
      </c>
      <c r="G6" s="2" t="s">
        <v>337</v>
      </c>
      <c r="H6" s="2" t="s">
        <v>352</v>
      </c>
      <c r="I6" s="2" t="s">
        <v>339</v>
      </c>
      <c r="J6" s="2" t="s">
        <v>353</v>
      </c>
      <c r="K6" s="2" t="s">
        <v>341</v>
      </c>
      <c r="L6" s="2" t="s">
        <v>37</v>
      </c>
      <c r="M6" s="5">
        <v>46255</v>
      </c>
      <c r="N6" s="2" t="s">
        <v>354</v>
      </c>
    </row>
    <row r="7" spans="1:14" ht="57.6" x14ac:dyDescent="0.3">
      <c r="A7" t="e" vm="41">
        <v>#VALUE!</v>
      </c>
      <c r="B7" s="2" t="s">
        <v>333</v>
      </c>
      <c r="C7" s="2" t="s">
        <v>334</v>
      </c>
      <c r="D7" s="2" t="s">
        <v>335</v>
      </c>
      <c r="E7" s="2" t="s">
        <v>30</v>
      </c>
      <c r="F7" s="2" t="s">
        <v>336</v>
      </c>
      <c r="G7" s="2" t="s">
        <v>337</v>
      </c>
      <c r="H7" s="2" t="s">
        <v>355</v>
      </c>
      <c r="I7" s="2" t="s">
        <v>339</v>
      </c>
      <c r="J7" s="2" t="s">
        <v>356</v>
      </c>
      <c r="K7" s="2" t="s">
        <v>341</v>
      </c>
      <c r="L7" s="2" t="s">
        <v>37</v>
      </c>
      <c r="M7" s="5">
        <v>46255</v>
      </c>
      <c r="N7" s="2" t="s">
        <v>357</v>
      </c>
    </row>
    <row r="8" spans="1:14" ht="57.6" x14ac:dyDescent="0.3">
      <c r="A8" t="e" vm="41">
        <v>#VALUE!</v>
      </c>
      <c r="B8" s="2" t="s">
        <v>333</v>
      </c>
      <c r="C8" s="2" t="s">
        <v>334</v>
      </c>
      <c r="D8" s="2" t="s">
        <v>335</v>
      </c>
      <c r="E8" s="2" t="s">
        <v>30</v>
      </c>
      <c r="F8" s="2" t="s">
        <v>336</v>
      </c>
      <c r="G8" s="2" t="s">
        <v>337</v>
      </c>
      <c r="H8" s="2" t="s">
        <v>358</v>
      </c>
      <c r="I8" s="2" t="s">
        <v>339</v>
      </c>
      <c r="J8" s="2" t="s">
        <v>359</v>
      </c>
      <c r="K8" s="2" t="s">
        <v>341</v>
      </c>
      <c r="L8" s="2" t="s">
        <v>37</v>
      </c>
      <c r="M8" s="5">
        <v>46255</v>
      </c>
      <c r="N8" s="2" t="s">
        <v>360</v>
      </c>
    </row>
    <row r="9" spans="1:14" ht="57.6" x14ac:dyDescent="0.3">
      <c r="A9" t="e" vm="41">
        <v>#VALUE!</v>
      </c>
      <c r="B9" s="2" t="s">
        <v>333</v>
      </c>
      <c r="C9" s="2" t="s">
        <v>334</v>
      </c>
      <c r="D9" s="2" t="s">
        <v>335</v>
      </c>
      <c r="E9" s="2" t="s">
        <v>30</v>
      </c>
      <c r="F9" s="2" t="s">
        <v>336</v>
      </c>
      <c r="G9" s="2" t="s">
        <v>337</v>
      </c>
      <c r="H9" s="2" t="s">
        <v>361</v>
      </c>
      <c r="I9" s="2" t="s">
        <v>339</v>
      </c>
      <c r="J9" s="2" t="s">
        <v>362</v>
      </c>
      <c r="K9" s="2" t="s">
        <v>341</v>
      </c>
      <c r="L9" s="2" t="s">
        <v>37</v>
      </c>
      <c r="M9" s="5">
        <v>46255</v>
      </c>
      <c r="N9" s="2" t="s">
        <v>363</v>
      </c>
    </row>
    <row r="10" spans="1:14" ht="57.6" x14ac:dyDescent="0.3">
      <c r="A10" t="e" vm="41">
        <v>#VALUE!</v>
      </c>
      <c r="B10" s="2" t="s">
        <v>333</v>
      </c>
      <c r="C10" s="2" t="s">
        <v>334</v>
      </c>
      <c r="D10" s="2" t="s">
        <v>335</v>
      </c>
      <c r="E10" s="2" t="s">
        <v>30</v>
      </c>
      <c r="F10" s="2" t="s">
        <v>336</v>
      </c>
      <c r="G10" s="2" t="s">
        <v>337</v>
      </c>
      <c r="H10" s="2" t="s">
        <v>364</v>
      </c>
      <c r="I10" s="2" t="s">
        <v>339</v>
      </c>
      <c r="J10" s="2" t="s">
        <v>365</v>
      </c>
      <c r="K10" s="2" t="s">
        <v>341</v>
      </c>
      <c r="L10" s="2" t="s">
        <v>37</v>
      </c>
      <c r="M10" s="5">
        <v>46255</v>
      </c>
      <c r="N10" s="2" t="s">
        <v>366</v>
      </c>
    </row>
    <row r="11" spans="1:14" ht="57.6" x14ac:dyDescent="0.3">
      <c r="A11" t="e" vm="42">
        <f>_xlfn.IMAGE("https://www.google.com/s2/favicons?domain=recrutement.fiveguys.fr&amp;sz=128","Five Guys favicon")</f>
        <v>#VALUE!</v>
      </c>
      <c r="B11" s="2" t="s">
        <v>367</v>
      </c>
      <c r="C11" s="2" t="s">
        <v>368</v>
      </c>
      <c r="D11" s="2" t="s">
        <v>369</v>
      </c>
      <c r="E11" s="2" t="s">
        <v>30</v>
      </c>
      <c r="F11" s="2" t="s">
        <v>336</v>
      </c>
      <c r="G11" s="2" t="s">
        <v>370</v>
      </c>
      <c r="H11" s="2" t="s">
        <v>371</v>
      </c>
      <c r="I11" s="2" t="s">
        <v>339</v>
      </c>
      <c r="J11" s="2" t="s">
        <v>372</v>
      </c>
      <c r="K11" s="2" t="s">
        <v>373</v>
      </c>
      <c r="L11" s="2" t="s">
        <v>37</v>
      </c>
      <c r="M11" s="5">
        <v>46255</v>
      </c>
      <c r="N11" s="2" t="s">
        <v>374</v>
      </c>
    </row>
    <row r="12" spans="1:14" ht="43.2" x14ac:dyDescent="0.3">
      <c r="A12" t="e" vm="43">
        <f>_xlfn.IMAGE("https://www.google.com/s2/favicons?domain=emploi.burgerking.fr&amp;sz=128","Burger King favicon")</f>
        <v>#VALUE!</v>
      </c>
      <c r="B12" s="2" t="s">
        <v>375</v>
      </c>
      <c r="C12" s="2" t="s">
        <v>368</v>
      </c>
      <c r="D12" s="2" t="s">
        <v>376</v>
      </c>
      <c r="E12" s="2" t="s">
        <v>30</v>
      </c>
      <c r="F12" s="2" t="s">
        <v>336</v>
      </c>
      <c r="G12" s="2" t="s">
        <v>377</v>
      </c>
      <c r="H12" s="2" t="s">
        <v>378</v>
      </c>
      <c r="I12" s="2" t="s">
        <v>379</v>
      </c>
      <c r="J12" s="2" t="s">
        <v>380</v>
      </c>
      <c r="K12" s="2" t="s">
        <v>381</v>
      </c>
      <c r="L12" s="2" t="s">
        <v>37</v>
      </c>
      <c r="M12" s="5">
        <v>46255</v>
      </c>
      <c r="N12" s="2" t="s">
        <v>382</v>
      </c>
    </row>
    <row r="13" spans="1:14" ht="43.2" x14ac:dyDescent="0.3">
      <c r="A13" t="e" vm="43">
        <f t="shared" ref="A13:A32" si="0">_xlfn.IMAGE("https://www.google.com/s2/favicons?domain=emploi.burgerking.fr&amp;sz=128","Burger King favicon")</f>
        <v>#VALUE!</v>
      </c>
      <c r="B13" s="2" t="s">
        <v>375</v>
      </c>
      <c r="C13" s="2" t="s">
        <v>368</v>
      </c>
      <c r="D13" s="2" t="s">
        <v>376</v>
      </c>
      <c r="E13" s="2" t="s">
        <v>30</v>
      </c>
      <c r="F13" s="2" t="s">
        <v>336</v>
      </c>
      <c r="G13" s="2" t="s">
        <v>377</v>
      </c>
      <c r="H13" s="2" t="s">
        <v>383</v>
      </c>
      <c r="I13" s="2" t="s">
        <v>379</v>
      </c>
      <c r="J13" s="2" t="s">
        <v>380</v>
      </c>
      <c r="K13" s="2" t="s">
        <v>381</v>
      </c>
      <c r="L13" s="2" t="s">
        <v>37</v>
      </c>
      <c r="M13" s="5">
        <v>46255</v>
      </c>
      <c r="N13" s="2" t="s">
        <v>382</v>
      </c>
    </row>
    <row r="14" spans="1:14" ht="43.2" x14ac:dyDescent="0.3">
      <c r="A14" t="e" vm="43">
        <f t="shared" si="0"/>
        <v>#VALUE!</v>
      </c>
      <c r="B14" s="2" t="s">
        <v>375</v>
      </c>
      <c r="C14" s="2" t="s">
        <v>368</v>
      </c>
      <c r="D14" s="2" t="s">
        <v>376</v>
      </c>
      <c r="E14" s="2" t="s">
        <v>30</v>
      </c>
      <c r="F14" s="2" t="s">
        <v>336</v>
      </c>
      <c r="G14" s="2" t="s">
        <v>377</v>
      </c>
      <c r="H14" s="2" t="s">
        <v>384</v>
      </c>
      <c r="I14" s="2" t="s">
        <v>379</v>
      </c>
      <c r="J14" s="2" t="s">
        <v>380</v>
      </c>
      <c r="K14" s="2" t="s">
        <v>381</v>
      </c>
      <c r="L14" s="2" t="s">
        <v>37</v>
      </c>
      <c r="M14" s="5">
        <v>46255</v>
      </c>
      <c r="N14" s="2" t="s">
        <v>382</v>
      </c>
    </row>
    <row r="15" spans="1:14" ht="43.2" x14ac:dyDescent="0.3">
      <c r="A15" t="e" vm="43">
        <f t="shared" si="0"/>
        <v>#VALUE!</v>
      </c>
      <c r="B15" s="2" t="s">
        <v>375</v>
      </c>
      <c r="C15" s="2" t="s">
        <v>368</v>
      </c>
      <c r="D15" s="2" t="s">
        <v>376</v>
      </c>
      <c r="E15" s="2" t="s">
        <v>30</v>
      </c>
      <c r="F15" s="2" t="s">
        <v>336</v>
      </c>
      <c r="G15" s="2" t="s">
        <v>377</v>
      </c>
      <c r="H15" s="2" t="s">
        <v>385</v>
      </c>
      <c r="I15" s="2" t="s">
        <v>379</v>
      </c>
      <c r="J15" s="2" t="s">
        <v>380</v>
      </c>
      <c r="K15" s="2" t="s">
        <v>381</v>
      </c>
      <c r="L15" s="2" t="s">
        <v>37</v>
      </c>
      <c r="M15" s="5">
        <v>46255</v>
      </c>
      <c r="N15" s="2" t="s">
        <v>382</v>
      </c>
    </row>
    <row r="16" spans="1:14" ht="43.2" x14ac:dyDescent="0.3">
      <c r="A16" t="e" vm="43">
        <f t="shared" si="0"/>
        <v>#VALUE!</v>
      </c>
      <c r="B16" s="2" t="s">
        <v>375</v>
      </c>
      <c r="C16" s="2" t="s">
        <v>368</v>
      </c>
      <c r="D16" s="2" t="s">
        <v>376</v>
      </c>
      <c r="E16" s="2" t="s">
        <v>30</v>
      </c>
      <c r="F16" s="2" t="s">
        <v>336</v>
      </c>
      <c r="G16" s="2" t="s">
        <v>377</v>
      </c>
      <c r="H16" s="2" t="s">
        <v>386</v>
      </c>
      <c r="I16" s="2" t="s">
        <v>379</v>
      </c>
      <c r="J16" s="2" t="s">
        <v>380</v>
      </c>
      <c r="K16" s="2" t="s">
        <v>381</v>
      </c>
      <c r="L16" s="2" t="s">
        <v>37</v>
      </c>
      <c r="M16" s="5">
        <v>46255</v>
      </c>
      <c r="N16" s="2" t="s">
        <v>382</v>
      </c>
    </row>
    <row r="17" spans="1:14" ht="43.2" x14ac:dyDescent="0.3">
      <c r="A17" t="e" vm="43">
        <f t="shared" si="0"/>
        <v>#VALUE!</v>
      </c>
      <c r="B17" s="2" t="s">
        <v>375</v>
      </c>
      <c r="C17" s="2" t="s">
        <v>368</v>
      </c>
      <c r="D17" s="2" t="s">
        <v>376</v>
      </c>
      <c r="E17" s="2" t="s">
        <v>30</v>
      </c>
      <c r="F17" s="2" t="s">
        <v>336</v>
      </c>
      <c r="G17" s="2" t="s">
        <v>377</v>
      </c>
      <c r="H17" s="2" t="s">
        <v>387</v>
      </c>
      <c r="I17" s="2" t="s">
        <v>379</v>
      </c>
      <c r="J17" s="2" t="s">
        <v>380</v>
      </c>
      <c r="K17" s="2" t="s">
        <v>381</v>
      </c>
      <c r="L17" s="2" t="s">
        <v>37</v>
      </c>
      <c r="M17" s="5">
        <v>46255</v>
      </c>
      <c r="N17" s="2" t="s">
        <v>382</v>
      </c>
    </row>
    <row r="18" spans="1:14" ht="43.2" x14ac:dyDescent="0.3">
      <c r="A18" t="e" vm="43">
        <f t="shared" si="0"/>
        <v>#VALUE!</v>
      </c>
      <c r="B18" s="2" t="s">
        <v>375</v>
      </c>
      <c r="C18" s="2" t="s">
        <v>368</v>
      </c>
      <c r="D18" s="2" t="s">
        <v>376</v>
      </c>
      <c r="E18" s="2" t="s">
        <v>30</v>
      </c>
      <c r="F18" s="2" t="s">
        <v>336</v>
      </c>
      <c r="G18" s="2" t="s">
        <v>377</v>
      </c>
      <c r="H18" s="2" t="s">
        <v>388</v>
      </c>
      <c r="I18" s="2" t="s">
        <v>379</v>
      </c>
      <c r="J18" s="2" t="s">
        <v>380</v>
      </c>
      <c r="K18" s="2" t="s">
        <v>381</v>
      </c>
      <c r="L18" s="2" t="s">
        <v>37</v>
      </c>
      <c r="M18" s="5">
        <v>46255</v>
      </c>
      <c r="N18" s="2" t="s">
        <v>382</v>
      </c>
    </row>
    <row r="19" spans="1:14" ht="43.2" x14ac:dyDescent="0.3">
      <c r="A19" t="e" vm="43">
        <f t="shared" si="0"/>
        <v>#VALUE!</v>
      </c>
      <c r="B19" s="2" t="s">
        <v>375</v>
      </c>
      <c r="C19" s="2" t="s">
        <v>368</v>
      </c>
      <c r="D19" s="2" t="s">
        <v>376</v>
      </c>
      <c r="E19" s="2" t="s">
        <v>30</v>
      </c>
      <c r="F19" s="2" t="s">
        <v>336</v>
      </c>
      <c r="G19" s="2" t="s">
        <v>377</v>
      </c>
      <c r="H19" s="2" t="s">
        <v>389</v>
      </c>
      <c r="I19" s="2" t="s">
        <v>379</v>
      </c>
      <c r="J19" s="2" t="s">
        <v>380</v>
      </c>
      <c r="K19" s="2" t="s">
        <v>381</v>
      </c>
      <c r="L19" s="2" t="s">
        <v>37</v>
      </c>
      <c r="M19" s="5">
        <v>46255</v>
      </c>
      <c r="N19" s="2" t="s">
        <v>382</v>
      </c>
    </row>
    <row r="20" spans="1:14" ht="43.2" x14ac:dyDescent="0.3">
      <c r="A20" t="e" vm="43">
        <f>_xlfn.IMAGE("https://www.google.com/s2/favicons?domain=emploi.burgerking.fr&amp;sz=128","Burger King favicon")</f>
        <v>#VALUE!</v>
      </c>
      <c r="B20" s="2" t="s">
        <v>375</v>
      </c>
      <c r="C20" s="2" t="s">
        <v>368</v>
      </c>
      <c r="D20" s="2" t="s">
        <v>376</v>
      </c>
      <c r="E20" s="2" t="s">
        <v>30</v>
      </c>
      <c r="F20" s="2" t="s">
        <v>336</v>
      </c>
      <c r="G20" s="2" t="s">
        <v>377</v>
      </c>
      <c r="H20" s="2" t="s">
        <v>390</v>
      </c>
      <c r="I20" s="2" t="s">
        <v>379</v>
      </c>
      <c r="J20" s="2" t="s">
        <v>380</v>
      </c>
      <c r="K20" s="2" t="s">
        <v>381</v>
      </c>
      <c r="L20" s="2" t="s">
        <v>37</v>
      </c>
      <c r="M20" s="5">
        <v>46255</v>
      </c>
      <c r="N20" s="2" t="s">
        <v>382</v>
      </c>
    </row>
    <row r="21" spans="1:14" ht="43.2" x14ac:dyDescent="0.3">
      <c r="A21" t="e" vm="43">
        <f t="shared" si="0"/>
        <v>#VALUE!</v>
      </c>
      <c r="B21" s="2" t="s">
        <v>375</v>
      </c>
      <c r="C21" s="2" t="s">
        <v>368</v>
      </c>
      <c r="D21" s="2" t="s">
        <v>376</v>
      </c>
      <c r="E21" s="2" t="s">
        <v>30</v>
      </c>
      <c r="F21" s="2" t="s">
        <v>336</v>
      </c>
      <c r="G21" s="2" t="s">
        <v>377</v>
      </c>
      <c r="H21" s="2" t="s">
        <v>391</v>
      </c>
      <c r="I21" s="2" t="s">
        <v>379</v>
      </c>
      <c r="J21" s="2" t="s">
        <v>380</v>
      </c>
      <c r="K21" s="2" t="s">
        <v>381</v>
      </c>
      <c r="L21" s="2" t="s">
        <v>37</v>
      </c>
      <c r="M21" s="5">
        <v>46255</v>
      </c>
      <c r="N21" s="2" t="s">
        <v>382</v>
      </c>
    </row>
    <row r="22" spans="1:14" ht="43.2" x14ac:dyDescent="0.3">
      <c r="A22" t="e" vm="43">
        <f t="shared" si="0"/>
        <v>#VALUE!</v>
      </c>
      <c r="B22" s="2" t="s">
        <v>375</v>
      </c>
      <c r="C22" s="2" t="s">
        <v>368</v>
      </c>
      <c r="D22" s="2" t="s">
        <v>376</v>
      </c>
      <c r="E22" s="2" t="s">
        <v>30</v>
      </c>
      <c r="F22" s="2" t="s">
        <v>336</v>
      </c>
      <c r="G22" s="2" t="s">
        <v>377</v>
      </c>
      <c r="H22" s="2" t="s">
        <v>392</v>
      </c>
      <c r="I22" s="2" t="s">
        <v>379</v>
      </c>
      <c r="J22" s="2" t="s">
        <v>380</v>
      </c>
      <c r="K22" s="2" t="s">
        <v>381</v>
      </c>
      <c r="L22" s="2" t="s">
        <v>37</v>
      </c>
      <c r="M22" s="5">
        <v>46255</v>
      </c>
      <c r="N22" s="2" t="s">
        <v>382</v>
      </c>
    </row>
    <row r="23" spans="1:14" ht="43.2" x14ac:dyDescent="0.3">
      <c r="A23" t="e" vm="43">
        <f t="shared" si="0"/>
        <v>#VALUE!</v>
      </c>
      <c r="B23" s="2" t="s">
        <v>375</v>
      </c>
      <c r="C23" s="2" t="s">
        <v>368</v>
      </c>
      <c r="D23" s="2" t="s">
        <v>376</v>
      </c>
      <c r="E23" s="2" t="s">
        <v>30</v>
      </c>
      <c r="F23" s="2" t="s">
        <v>336</v>
      </c>
      <c r="G23" s="2" t="s">
        <v>377</v>
      </c>
      <c r="H23" s="2" t="s">
        <v>393</v>
      </c>
      <c r="I23" s="2" t="s">
        <v>379</v>
      </c>
      <c r="J23" s="2" t="s">
        <v>380</v>
      </c>
      <c r="K23" s="2" t="s">
        <v>381</v>
      </c>
      <c r="L23" s="2" t="s">
        <v>37</v>
      </c>
      <c r="M23" s="5">
        <v>46255</v>
      </c>
      <c r="N23" s="2" t="s">
        <v>382</v>
      </c>
    </row>
    <row r="24" spans="1:14" ht="43.2" x14ac:dyDescent="0.3">
      <c r="A24" t="e" vm="43">
        <f t="shared" si="0"/>
        <v>#VALUE!</v>
      </c>
      <c r="B24" s="2" t="s">
        <v>375</v>
      </c>
      <c r="C24" s="2" t="s">
        <v>368</v>
      </c>
      <c r="D24" s="2" t="s">
        <v>376</v>
      </c>
      <c r="E24" s="2" t="s">
        <v>30</v>
      </c>
      <c r="F24" s="2" t="s">
        <v>336</v>
      </c>
      <c r="G24" s="2" t="s">
        <v>377</v>
      </c>
      <c r="H24" s="2" t="s">
        <v>394</v>
      </c>
      <c r="I24" s="2" t="s">
        <v>379</v>
      </c>
      <c r="J24" s="2" t="s">
        <v>380</v>
      </c>
      <c r="K24" s="2" t="s">
        <v>381</v>
      </c>
      <c r="L24" s="2" t="s">
        <v>37</v>
      </c>
      <c r="M24" s="5">
        <v>46255</v>
      </c>
      <c r="N24" s="2" t="s">
        <v>382</v>
      </c>
    </row>
    <row r="25" spans="1:14" ht="43.2" x14ac:dyDescent="0.3">
      <c r="A25" t="e" vm="43">
        <f>_xlfn.IMAGE("https://www.google.com/s2/favicons?domain=emploi.burgerking.fr&amp;sz=128","Burger King favicon")</f>
        <v>#VALUE!</v>
      </c>
      <c r="B25" s="2" t="s">
        <v>375</v>
      </c>
      <c r="C25" s="2" t="s">
        <v>368</v>
      </c>
      <c r="D25" s="2" t="s">
        <v>376</v>
      </c>
      <c r="E25" s="2" t="s">
        <v>30</v>
      </c>
      <c r="F25" s="2" t="s">
        <v>336</v>
      </c>
      <c r="G25" s="2" t="s">
        <v>377</v>
      </c>
      <c r="H25" s="2" t="s">
        <v>395</v>
      </c>
      <c r="I25" s="2" t="s">
        <v>379</v>
      </c>
      <c r="J25" s="2" t="s">
        <v>380</v>
      </c>
      <c r="K25" s="2" t="s">
        <v>381</v>
      </c>
      <c r="L25" s="2" t="s">
        <v>37</v>
      </c>
      <c r="M25" s="5">
        <v>46255</v>
      </c>
      <c r="N25" s="2" t="s">
        <v>382</v>
      </c>
    </row>
    <row r="26" spans="1:14" ht="43.2" x14ac:dyDescent="0.3">
      <c r="A26" t="e" vm="43">
        <f t="shared" si="0"/>
        <v>#VALUE!</v>
      </c>
      <c r="B26" s="2" t="s">
        <v>375</v>
      </c>
      <c r="C26" s="2" t="s">
        <v>368</v>
      </c>
      <c r="D26" s="2" t="s">
        <v>376</v>
      </c>
      <c r="E26" s="2" t="s">
        <v>30</v>
      </c>
      <c r="F26" s="2" t="s">
        <v>336</v>
      </c>
      <c r="G26" s="2" t="s">
        <v>377</v>
      </c>
      <c r="H26" s="2" t="s">
        <v>396</v>
      </c>
      <c r="I26" s="2" t="s">
        <v>379</v>
      </c>
      <c r="J26" s="2" t="s">
        <v>380</v>
      </c>
      <c r="K26" s="2" t="s">
        <v>381</v>
      </c>
      <c r="L26" s="2" t="s">
        <v>37</v>
      </c>
      <c r="M26" s="5">
        <v>46255</v>
      </c>
      <c r="N26" s="2" t="s">
        <v>382</v>
      </c>
    </row>
    <row r="27" spans="1:14" ht="43.2" x14ac:dyDescent="0.3">
      <c r="A27" t="e" vm="43">
        <f t="shared" si="0"/>
        <v>#VALUE!</v>
      </c>
      <c r="B27" s="2" t="s">
        <v>375</v>
      </c>
      <c r="C27" s="2" t="s">
        <v>368</v>
      </c>
      <c r="D27" s="2" t="s">
        <v>376</v>
      </c>
      <c r="E27" s="2" t="s">
        <v>30</v>
      </c>
      <c r="F27" s="2" t="s">
        <v>336</v>
      </c>
      <c r="G27" s="2" t="s">
        <v>377</v>
      </c>
      <c r="H27" s="2" t="s">
        <v>397</v>
      </c>
      <c r="I27" s="2" t="s">
        <v>379</v>
      </c>
      <c r="J27" s="2" t="s">
        <v>380</v>
      </c>
      <c r="K27" s="2" t="s">
        <v>381</v>
      </c>
      <c r="L27" s="2" t="s">
        <v>37</v>
      </c>
      <c r="M27" s="5">
        <v>46255</v>
      </c>
      <c r="N27" s="2" t="s">
        <v>382</v>
      </c>
    </row>
    <row r="28" spans="1:14" ht="43.2" x14ac:dyDescent="0.3">
      <c r="A28" t="e" vm="43">
        <f t="shared" si="0"/>
        <v>#VALUE!</v>
      </c>
      <c r="B28" s="2" t="s">
        <v>375</v>
      </c>
      <c r="C28" s="2" t="s">
        <v>368</v>
      </c>
      <c r="D28" s="2" t="s">
        <v>376</v>
      </c>
      <c r="E28" s="2" t="s">
        <v>30</v>
      </c>
      <c r="F28" s="2" t="s">
        <v>336</v>
      </c>
      <c r="G28" s="2" t="s">
        <v>377</v>
      </c>
      <c r="H28" s="2" t="s">
        <v>398</v>
      </c>
      <c r="I28" s="2" t="s">
        <v>379</v>
      </c>
      <c r="J28" s="2" t="s">
        <v>380</v>
      </c>
      <c r="K28" s="2" t="s">
        <v>381</v>
      </c>
      <c r="L28" s="2" t="s">
        <v>37</v>
      </c>
      <c r="M28" s="5">
        <v>46255</v>
      </c>
      <c r="N28" s="2" t="s">
        <v>382</v>
      </c>
    </row>
    <row r="29" spans="1:14" ht="43.2" x14ac:dyDescent="0.3">
      <c r="A29" t="e" vm="43">
        <f t="shared" si="0"/>
        <v>#VALUE!</v>
      </c>
      <c r="B29" s="2" t="s">
        <v>375</v>
      </c>
      <c r="C29" s="2" t="s">
        <v>368</v>
      </c>
      <c r="D29" s="2" t="s">
        <v>376</v>
      </c>
      <c r="E29" s="2" t="s">
        <v>30</v>
      </c>
      <c r="F29" s="2" t="s">
        <v>336</v>
      </c>
      <c r="G29" s="2" t="s">
        <v>377</v>
      </c>
      <c r="H29" s="2" t="s">
        <v>399</v>
      </c>
      <c r="I29" s="2" t="s">
        <v>379</v>
      </c>
      <c r="J29" s="2" t="s">
        <v>380</v>
      </c>
      <c r="K29" s="2" t="s">
        <v>381</v>
      </c>
      <c r="L29" s="2" t="s">
        <v>37</v>
      </c>
      <c r="M29" s="5">
        <v>46255</v>
      </c>
      <c r="N29" s="2" t="s">
        <v>382</v>
      </c>
    </row>
    <row r="30" spans="1:14" ht="43.2" x14ac:dyDescent="0.3">
      <c r="A30" t="e" vm="43">
        <f t="shared" si="0"/>
        <v>#VALUE!</v>
      </c>
      <c r="B30" s="2" t="s">
        <v>375</v>
      </c>
      <c r="C30" s="2" t="s">
        <v>368</v>
      </c>
      <c r="D30" s="2" t="s">
        <v>376</v>
      </c>
      <c r="E30" s="2" t="s">
        <v>30</v>
      </c>
      <c r="F30" s="2" t="s">
        <v>336</v>
      </c>
      <c r="G30" s="2" t="s">
        <v>377</v>
      </c>
      <c r="H30" s="2" t="s">
        <v>400</v>
      </c>
      <c r="I30" s="2" t="s">
        <v>379</v>
      </c>
      <c r="J30" s="2" t="s">
        <v>380</v>
      </c>
      <c r="K30" s="2" t="s">
        <v>381</v>
      </c>
      <c r="L30" s="2" t="s">
        <v>37</v>
      </c>
      <c r="M30" s="5">
        <v>46255</v>
      </c>
      <c r="N30" s="2" t="s">
        <v>382</v>
      </c>
    </row>
    <row r="31" spans="1:14" ht="43.2" x14ac:dyDescent="0.3">
      <c r="A31" t="e" vm="43">
        <f t="shared" si="0"/>
        <v>#VALUE!</v>
      </c>
      <c r="B31" s="2" t="s">
        <v>375</v>
      </c>
      <c r="C31" s="2" t="s">
        <v>368</v>
      </c>
      <c r="D31" s="2" t="s">
        <v>376</v>
      </c>
      <c r="E31" s="2" t="s">
        <v>30</v>
      </c>
      <c r="F31" s="2" t="s">
        <v>336</v>
      </c>
      <c r="G31" s="2" t="s">
        <v>377</v>
      </c>
      <c r="H31" s="2" t="s">
        <v>401</v>
      </c>
      <c r="I31" s="2" t="s">
        <v>379</v>
      </c>
      <c r="J31" s="2" t="s">
        <v>380</v>
      </c>
      <c r="K31" s="2" t="s">
        <v>381</v>
      </c>
      <c r="L31" s="2" t="s">
        <v>37</v>
      </c>
      <c r="M31" s="5">
        <v>46255</v>
      </c>
      <c r="N31" s="2" t="s">
        <v>382</v>
      </c>
    </row>
    <row r="32" spans="1:14" ht="43.2" x14ac:dyDescent="0.3">
      <c r="A32" t="e" vm="43">
        <f t="shared" si="0"/>
        <v>#VALUE!</v>
      </c>
      <c r="B32" s="2" t="s">
        <v>375</v>
      </c>
      <c r="C32" s="2" t="s">
        <v>368</v>
      </c>
      <c r="D32" s="2" t="s">
        <v>376</v>
      </c>
      <c r="E32" s="2" t="s">
        <v>30</v>
      </c>
      <c r="F32" s="2" t="s">
        <v>336</v>
      </c>
      <c r="G32" s="2" t="s">
        <v>377</v>
      </c>
      <c r="H32" s="2" t="s">
        <v>402</v>
      </c>
      <c r="I32" s="2" t="s">
        <v>379</v>
      </c>
      <c r="J32" s="2" t="s">
        <v>380</v>
      </c>
      <c r="K32" s="2" t="s">
        <v>381</v>
      </c>
      <c r="L32" s="2" t="s">
        <v>37</v>
      </c>
      <c r="M32" s="5">
        <v>46255</v>
      </c>
      <c r="N32" s="2" t="s">
        <v>382</v>
      </c>
    </row>
    <row r="33" spans="1:14" ht="57.6" x14ac:dyDescent="0.3">
      <c r="A33" t="e" vm="44">
        <v>#VALUE!</v>
      </c>
      <c r="B33" s="2" t="s">
        <v>403</v>
      </c>
      <c r="C33" s="2" t="s">
        <v>368</v>
      </c>
      <c r="D33" s="2" t="s">
        <v>376</v>
      </c>
      <c r="E33" s="2" t="s">
        <v>30</v>
      </c>
      <c r="F33" s="2" t="s">
        <v>336</v>
      </c>
      <c r="G33" s="2" t="s">
        <v>370</v>
      </c>
      <c r="H33" s="2" t="s">
        <v>404</v>
      </c>
      <c r="I33" s="2" t="s">
        <v>339</v>
      </c>
      <c r="J33" s="2" t="s">
        <v>405</v>
      </c>
      <c r="K33" s="2" t="s">
        <v>406</v>
      </c>
      <c r="L33" s="2" t="s">
        <v>37</v>
      </c>
      <c r="M33" s="5">
        <v>46255</v>
      </c>
      <c r="N33" s="2" t="s">
        <v>407</v>
      </c>
    </row>
    <row r="34" spans="1:14" ht="57.6" x14ac:dyDescent="0.3">
      <c r="A34" t="e" vm="44">
        <v>#VALUE!</v>
      </c>
      <c r="B34" s="2" t="s">
        <v>403</v>
      </c>
      <c r="C34" s="2" t="s">
        <v>368</v>
      </c>
      <c r="D34" s="2" t="s">
        <v>376</v>
      </c>
      <c r="E34" s="2" t="s">
        <v>30</v>
      </c>
      <c r="F34" s="2" t="s">
        <v>336</v>
      </c>
      <c r="G34" s="2" t="s">
        <v>370</v>
      </c>
      <c r="H34" s="2" t="s">
        <v>408</v>
      </c>
      <c r="I34" s="2" t="s">
        <v>339</v>
      </c>
      <c r="J34" s="2" t="s">
        <v>409</v>
      </c>
      <c r="K34" s="2" t="s">
        <v>406</v>
      </c>
      <c r="L34" s="2" t="s">
        <v>37</v>
      </c>
      <c r="M34" s="5">
        <v>46255</v>
      </c>
      <c r="N34" s="2" t="s">
        <v>410</v>
      </c>
    </row>
    <row r="35" spans="1:14" ht="57.6" x14ac:dyDescent="0.3">
      <c r="A35" t="e" vm="44">
        <v>#VALUE!</v>
      </c>
      <c r="B35" s="2" t="s">
        <v>403</v>
      </c>
      <c r="C35" s="2" t="s">
        <v>368</v>
      </c>
      <c r="D35" s="2" t="s">
        <v>376</v>
      </c>
      <c r="E35" s="2" t="s">
        <v>30</v>
      </c>
      <c r="F35" s="2" t="s">
        <v>336</v>
      </c>
      <c r="G35" s="2" t="s">
        <v>370</v>
      </c>
      <c r="H35" s="2" t="s">
        <v>411</v>
      </c>
      <c r="I35" s="2" t="s">
        <v>339</v>
      </c>
      <c r="J35" s="2" t="s">
        <v>412</v>
      </c>
      <c r="K35" s="2" t="s">
        <v>406</v>
      </c>
      <c r="L35" s="2" t="s">
        <v>37</v>
      </c>
      <c r="M35" s="5">
        <v>46255</v>
      </c>
      <c r="N35" s="2" t="s">
        <v>413</v>
      </c>
    </row>
    <row r="36" spans="1:14" ht="57.6" x14ac:dyDescent="0.3">
      <c r="A36" t="e" vm="44">
        <v>#VALUE!</v>
      </c>
      <c r="B36" s="2" t="s">
        <v>403</v>
      </c>
      <c r="C36" s="2" t="s">
        <v>368</v>
      </c>
      <c r="D36" s="2" t="s">
        <v>376</v>
      </c>
      <c r="E36" s="2" t="s">
        <v>30</v>
      </c>
      <c r="F36" s="2" t="s">
        <v>336</v>
      </c>
      <c r="G36" s="2" t="s">
        <v>370</v>
      </c>
      <c r="H36" s="2" t="s">
        <v>414</v>
      </c>
      <c r="I36" s="2" t="s">
        <v>339</v>
      </c>
      <c r="J36" s="2" t="s">
        <v>415</v>
      </c>
      <c r="K36" s="2" t="s">
        <v>406</v>
      </c>
      <c r="L36" s="2" t="s">
        <v>37</v>
      </c>
      <c r="M36" s="5">
        <v>46255</v>
      </c>
      <c r="N36" s="2" t="s">
        <v>416</v>
      </c>
    </row>
    <row r="37" spans="1:14" ht="57.6" x14ac:dyDescent="0.3">
      <c r="A37" t="e" vm="44">
        <v>#VALUE!</v>
      </c>
      <c r="B37" s="2" t="s">
        <v>403</v>
      </c>
      <c r="C37" s="2" t="s">
        <v>368</v>
      </c>
      <c r="D37" s="2" t="s">
        <v>376</v>
      </c>
      <c r="E37" s="2" t="s">
        <v>30</v>
      </c>
      <c r="F37" s="2" t="s">
        <v>336</v>
      </c>
      <c r="G37" s="2" t="s">
        <v>370</v>
      </c>
      <c r="H37" s="2" t="s">
        <v>417</v>
      </c>
      <c r="I37" s="2" t="s">
        <v>339</v>
      </c>
      <c r="J37" s="2" t="s">
        <v>409</v>
      </c>
      <c r="K37" s="2" t="s">
        <v>406</v>
      </c>
      <c r="L37" s="2" t="s">
        <v>37</v>
      </c>
      <c r="M37" s="5">
        <v>46255</v>
      </c>
      <c r="N37" s="2" t="s">
        <v>418</v>
      </c>
    </row>
    <row r="38" spans="1:14" ht="57.6" x14ac:dyDescent="0.3">
      <c r="A38" t="e" vm="44">
        <v>#VALUE!</v>
      </c>
      <c r="B38" s="2" t="s">
        <v>403</v>
      </c>
      <c r="C38" s="2" t="s">
        <v>368</v>
      </c>
      <c r="D38" s="2" t="s">
        <v>376</v>
      </c>
      <c r="E38" s="2" t="s">
        <v>30</v>
      </c>
      <c r="F38" s="2" t="s">
        <v>336</v>
      </c>
      <c r="G38" s="2" t="s">
        <v>370</v>
      </c>
      <c r="H38" s="2" t="s">
        <v>419</v>
      </c>
      <c r="I38" s="2" t="s">
        <v>339</v>
      </c>
      <c r="J38" s="2" t="s">
        <v>409</v>
      </c>
      <c r="K38" s="2" t="s">
        <v>406</v>
      </c>
      <c r="L38" s="2" t="s">
        <v>37</v>
      </c>
      <c r="M38" s="5">
        <v>46255</v>
      </c>
      <c r="N38" s="2" t="s">
        <v>420</v>
      </c>
    </row>
    <row r="39" spans="1:14" ht="57.6" x14ac:dyDescent="0.3">
      <c r="A39" t="e" vm="45">
        <f>_xlfn.IMAGE("https://www.google.com/s2/favicons?domain=joinus.decathlon.fr&amp;sz=128","Decathlon favicon")</f>
        <v>#VALUE!</v>
      </c>
      <c r="B39" s="2" t="s">
        <v>421</v>
      </c>
      <c r="C39" s="2" t="s">
        <v>368</v>
      </c>
      <c r="D39" s="2" t="s">
        <v>422</v>
      </c>
      <c r="E39" s="2" t="s">
        <v>30</v>
      </c>
      <c r="F39" s="2" t="s">
        <v>423</v>
      </c>
      <c r="G39" s="2" t="s">
        <v>424</v>
      </c>
      <c r="H39" s="2" t="s">
        <v>425</v>
      </c>
      <c r="I39" s="2" t="s">
        <v>339</v>
      </c>
      <c r="J39" s="2" t="s">
        <v>426</v>
      </c>
      <c r="K39" s="2" t="s">
        <v>427</v>
      </c>
      <c r="L39" s="2" t="s">
        <v>37</v>
      </c>
      <c r="M39" s="5">
        <v>46255</v>
      </c>
      <c r="N39" s="2" t="s">
        <v>428</v>
      </c>
    </row>
    <row r="40" spans="1:14" ht="57.6" x14ac:dyDescent="0.3">
      <c r="A40" t="e" vm="45">
        <f>_xlfn.IMAGE("https://www.google.com/s2/favicons?domain=joinus.decathlon.fr&amp;sz=128","Decathlon favicon")</f>
        <v>#VALUE!</v>
      </c>
      <c r="B40" s="2" t="s">
        <v>421</v>
      </c>
      <c r="C40" s="2" t="s">
        <v>368</v>
      </c>
      <c r="D40" s="2" t="s">
        <v>422</v>
      </c>
      <c r="E40" s="2" t="s">
        <v>30</v>
      </c>
      <c r="F40" s="2" t="s">
        <v>423</v>
      </c>
      <c r="G40" s="2" t="s">
        <v>424</v>
      </c>
      <c r="H40" s="2" t="s">
        <v>429</v>
      </c>
      <c r="I40" s="2" t="s">
        <v>339</v>
      </c>
      <c r="J40" s="2" t="s">
        <v>430</v>
      </c>
      <c r="K40" s="2" t="s">
        <v>427</v>
      </c>
      <c r="L40" s="2" t="s">
        <v>37</v>
      </c>
      <c r="M40" s="5">
        <v>46255</v>
      </c>
      <c r="N40" s="2" t="s">
        <v>431</v>
      </c>
    </row>
    <row r="41" spans="1:14" ht="43.2" x14ac:dyDescent="0.3">
      <c r="A41" t="e" vm="46">
        <f>_xlfn.IMAGE("https://www.google.com/s2/favicons?domain=recrutement.monoprix.fr&amp;sz=128","Monoprix favicon")</f>
        <v>#VALUE!</v>
      </c>
      <c r="B41" s="2" t="s">
        <v>432</v>
      </c>
      <c r="C41" s="2" t="s">
        <v>368</v>
      </c>
      <c r="D41" s="2" t="s">
        <v>433</v>
      </c>
      <c r="E41" s="2" t="s">
        <v>30</v>
      </c>
      <c r="F41" s="2" t="s">
        <v>434</v>
      </c>
      <c r="G41" s="2" t="s">
        <v>435</v>
      </c>
      <c r="H41" s="2" t="s">
        <v>436</v>
      </c>
      <c r="I41" s="2" t="s">
        <v>34</v>
      </c>
      <c r="J41" s="2" t="s">
        <v>437</v>
      </c>
      <c r="K41" s="2" t="s">
        <v>438</v>
      </c>
      <c r="L41" s="2" t="s">
        <v>37</v>
      </c>
      <c r="M41" s="5">
        <v>46255</v>
      </c>
      <c r="N41" s="2" t="s">
        <v>382</v>
      </c>
    </row>
    <row r="42" spans="1:14" ht="57.6" x14ac:dyDescent="0.3">
      <c r="A42" t="e" vm="47">
        <f t="shared" ref="A42:A47" si="1">_xlfn.IMAGE("https://www.google.com/s2/favicons?domain=recrute.carrefour.fr&amp;sz=128","Carrefour favicon")</f>
        <v>#VALUE!</v>
      </c>
      <c r="B42" s="2" t="s">
        <v>439</v>
      </c>
      <c r="C42" s="2" t="s">
        <v>368</v>
      </c>
      <c r="D42" s="2" t="s">
        <v>376</v>
      </c>
      <c r="E42" s="2" t="s">
        <v>30</v>
      </c>
      <c r="F42" s="2" t="s">
        <v>434</v>
      </c>
      <c r="G42" s="2" t="s">
        <v>440</v>
      </c>
      <c r="H42" s="2" t="s">
        <v>441</v>
      </c>
      <c r="I42" s="2" t="s">
        <v>339</v>
      </c>
      <c r="J42" s="2" t="s">
        <v>442</v>
      </c>
      <c r="K42" s="2" t="s">
        <v>443</v>
      </c>
      <c r="L42" s="2" t="s">
        <v>37</v>
      </c>
      <c r="M42" s="5">
        <v>46255</v>
      </c>
      <c r="N42" s="2" t="s">
        <v>444</v>
      </c>
    </row>
    <row r="43" spans="1:14" ht="57.6" x14ac:dyDescent="0.3">
      <c r="A43" t="e" vm="47">
        <f t="shared" si="1"/>
        <v>#VALUE!</v>
      </c>
      <c r="B43" s="2" t="s">
        <v>439</v>
      </c>
      <c r="C43" s="2" t="s">
        <v>368</v>
      </c>
      <c r="D43" s="2" t="s">
        <v>376</v>
      </c>
      <c r="E43" s="2" t="s">
        <v>30</v>
      </c>
      <c r="F43" s="2" t="s">
        <v>434</v>
      </c>
      <c r="G43" s="2" t="s">
        <v>440</v>
      </c>
      <c r="H43" s="2" t="s">
        <v>445</v>
      </c>
      <c r="I43" s="2" t="s">
        <v>339</v>
      </c>
      <c r="J43" s="2" t="s">
        <v>446</v>
      </c>
      <c r="K43" s="2" t="s">
        <v>443</v>
      </c>
      <c r="L43" s="2" t="s">
        <v>37</v>
      </c>
      <c r="M43" s="5">
        <v>46255</v>
      </c>
      <c r="N43" s="2" t="s">
        <v>447</v>
      </c>
    </row>
    <row r="44" spans="1:14" ht="57.6" x14ac:dyDescent="0.3">
      <c r="A44" t="e" vm="47">
        <f t="shared" si="1"/>
        <v>#VALUE!</v>
      </c>
      <c r="B44" s="2" t="s">
        <v>439</v>
      </c>
      <c r="C44" s="2" t="s">
        <v>368</v>
      </c>
      <c r="D44" s="2" t="s">
        <v>376</v>
      </c>
      <c r="E44" s="2" t="s">
        <v>30</v>
      </c>
      <c r="F44" s="2" t="s">
        <v>434</v>
      </c>
      <c r="G44" s="2" t="s">
        <v>440</v>
      </c>
      <c r="H44" s="2" t="s">
        <v>448</v>
      </c>
      <c r="I44" s="2" t="s">
        <v>339</v>
      </c>
      <c r="J44" s="2" t="s">
        <v>449</v>
      </c>
      <c r="K44" s="2" t="s">
        <v>443</v>
      </c>
      <c r="L44" s="2" t="s">
        <v>37</v>
      </c>
      <c r="M44" s="5">
        <v>46255</v>
      </c>
      <c r="N44" s="2" t="s">
        <v>450</v>
      </c>
    </row>
    <row r="45" spans="1:14" ht="43.2" x14ac:dyDescent="0.3">
      <c r="A45" t="e" vm="47">
        <f t="shared" si="1"/>
        <v>#VALUE!</v>
      </c>
      <c r="B45" s="2" t="s">
        <v>439</v>
      </c>
      <c r="C45" s="2" t="s">
        <v>368</v>
      </c>
      <c r="D45" s="2" t="s">
        <v>376</v>
      </c>
      <c r="E45" s="2" t="s">
        <v>30</v>
      </c>
      <c r="F45" s="2" t="s">
        <v>434</v>
      </c>
      <c r="G45" s="2" t="s">
        <v>440</v>
      </c>
      <c r="H45" s="2" t="s">
        <v>451</v>
      </c>
      <c r="I45" s="2" t="s">
        <v>339</v>
      </c>
      <c r="J45" s="2" t="s">
        <v>452</v>
      </c>
      <c r="K45" s="2" t="s">
        <v>443</v>
      </c>
      <c r="L45" s="2" t="s">
        <v>37</v>
      </c>
      <c r="M45" s="5">
        <v>46255</v>
      </c>
      <c r="N45" s="2" t="s">
        <v>453</v>
      </c>
    </row>
    <row r="46" spans="1:14" ht="57.6" x14ac:dyDescent="0.3">
      <c r="A46" t="e" vm="47">
        <f t="shared" si="1"/>
        <v>#VALUE!</v>
      </c>
      <c r="B46" s="2" t="s">
        <v>439</v>
      </c>
      <c r="C46" s="2" t="s">
        <v>368</v>
      </c>
      <c r="D46" s="2" t="s">
        <v>376</v>
      </c>
      <c r="E46" s="2" t="s">
        <v>30</v>
      </c>
      <c r="F46" s="2" t="s">
        <v>434</v>
      </c>
      <c r="G46" s="2" t="s">
        <v>440</v>
      </c>
      <c r="H46" s="2" t="s">
        <v>454</v>
      </c>
      <c r="I46" s="2" t="s">
        <v>339</v>
      </c>
      <c r="J46" s="2" t="s">
        <v>455</v>
      </c>
      <c r="K46" s="2" t="s">
        <v>443</v>
      </c>
      <c r="L46" s="2" t="s">
        <v>37</v>
      </c>
      <c r="M46" s="5">
        <v>46255</v>
      </c>
      <c r="N46" s="2" t="s">
        <v>456</v>
      </c>
    </row>
    <row r="47" spans="1:14" ht="43.2" x14ac:dyDescent="0.3">
      <c r="A47" t="e" vm="47">
        <f t="shared" si="1"/>
        <v>#VALUE!</v>
      </c>
      <c r="B47" s="2" t="s">
        <v>439</v>
      </c>
      <c r="C47" s="2" t="s">
        <v>368</v>
      </c>
      <c r="D47" s="2" t="s">
        <v>376</v>
      </c>
      <c r="E47" s="2" t="s">
        <v>30</v>
      </c>
      <c r="F47" s="2" t="s">
        <v>434</v>
      </c>
      <c r="G47" s="2" t="s">
        <v>440</v>
      </c>
      <c r="H47" s="2" t="s">
        <v>457</v>
      </c>
      <c r="I47" s="2" t="s">
        <v>339</v>
      </c>
      <c r="J47" s="2" t="s">
        <v>458</v>
      </c>
      <c r="K47" s="2" t="s">
        <v>443</v>
      </c>
      <c r="L47" s="2" t="s">
        <v>37</v>
      </c>
      <c r="M47" s="5">
        <v>46255</v>
      </c>
      <c r="N47" s="2" t="s">
        <v>459</v>
      </c>
    </row>
    <row r="48" spans="1:14" ht="28.8" x14ac:dyDescent="0.3">
      <c r="A48" t="e" vm="48">
        <v>#VALUE!</v>
      </c>
      <c r="B48" s="2" t="s">
        <v>460</v>
      </c>
      <c r="C48" s="2" t="s">
        <v>334</v>
      </c>
      <c r="D48" s="2" t="s">
        <v>29</v>
      </c>
      <c r="E48" s="2" t="s">
        <v>30</v>
      </c>
      <c r="F48" s="2" t="s">
        <v>434</v>
      </c>
      <c r="G48" s="2" t="s">
        <v>461</v>
      </c>
      <c r="H48" s="2" t="s">
        <v>462</v>
      </c>
      <c r="I48" s="2" t="s">
        <v>379</v>
      </c>
      <c r="J48" s="2" t="s">
        <v>463</v>
      </c>
      <c r="K48" s="2" t="s">
        <v>464</v>
      </c>
      <c r="L48" s="2" t="s">
        <v>37</v>
      </c>
      <c r="M48" s="5">
        <v>46255</v>
      </c>
      <c r="N48" s="2" t="s">
        <v>140</v>
      </c>
    </row>
    <row r="49" spans="1:14" ht="28.8" x14ac:dyDescent="0.3">
      <c r="A49" t="e" vm="48">
        <v>#VALUE!</v>
      </c>
      <c r="B49" s="2" t="s">
        <v>460</v>
      </c>
      <c r="C49" s="2" t="s">
        <v>334</v>
      </c>
      <c r="D49" s="2" t="s">
        <v>29</v>
      </c>
      <c r="E49" s="2" t="s">
        <v>30</v>
      </c>
      <c r="F49" s="2" t="s">
        <v>434</v>
      </c>
      <c r="G49" s="2" t="s">
        <v>461</v>
      </c>
      <c r="H49" s="2" t="s">
        <v>465</v>
      </c>
      <c r="I49" s="2" t="s">
        <v>379</v>
      </c>
      <c r="J49" s="2" t="s">
        <v>463</v>
      </c>
      <c r="K49" s="2" t="s">
        <v>464</v>
      </c>
      <c r="L49" s="2" t="s">
        <v>37</v>
      </c>
      <c r="M49" s="5">
        <v>46255</v>
      </c>
      <c r="N49" s="2" t="s">
        <v>140</v>
      </c>
    </row>
    <row r="50" spans="1:14" ht="28.8" x14ac:dyDescent="0.3">
      <c r="A50" t="e" vm="48">
        <v>#VALUE!</v>
      </c>
      <c r="B50" s="2" t="s">
        <v>460</v>
      </c>
      <c r="C50" s="2" t="s">
        <v>334</v>
      </c>
      <c r="D50" s="2" t="s">
        <v>29</v>
      </c>
      <c r="E50" s="2" t="s">
        <v>30</v>
      </c>
      <c r="F50" s="2" t="s">
        <v>434</v>
      </c>
      <c r="G50" s="2" t="s">
        <v>461</v>
      </c>
      <c r="H50" s="2" t="s">
        <v>466</v>
      </c>
      <c r="I50" s="2" t="s">
        <v>379</v>
      </c>
      <c r="J50" s="2" t="s">
        <v>463</v>
      </c>
      <c r="K50" s="2" t="s">
        <v>464</v>
      </c>
      <c r="L50" s="2" t="s">
        <v>37</v>
      </c>
      <c r="M50" s="5">
        <v>46255</v>
      </c>
      <c r="N50" s="2" t="s">
        <v>140</v>
      </c>
    </row>
    <row r="51" spans="1:14" ht="28.8" x14ac:dyDescent="0.3">
      <c r="A51" t="e" vm="48">
        <v>#VALUE!</v>
      </c>
      <c r="B51" s="2" t="s">
        <v>460</v>
      </c>
      <c r="C51" s="2" t="s">
        <v>334</v>
      </c>
      <c r="D51" s="2" t="s">
        <v>29</v>
      </c>
      <c r="E51" s="2" t="s">
        <v>30</v>
      </c>
      <c r="F51" s="2" t="s">
        <v>434</v>
      </c>
      <c r="G51" s="2" t="s">
        <v>461</v>
      </c>
      <c r="H51" s="2" t="s">
        <v>467</v>
      </c>
      <c r="I51" s="2" t="s">
        <v>379</v>
      </c>
      <c r="J51" s="2" t="s">
        <v>463</v>
      </c>
      <c r="K51" s="2" t="s">
        <v>464</v>
      </c>
      <c r="L51" s="2" t="s">
        <v>37</v>
      </c>
      <c r="M51" s="5">
        <v>46255</v>
      </c>
      <c r="N51" s="2" t="s">
        <v>140</v>
      </c>
    </row>
    <row r="52" spans="1:14" ht="28.8" x14ac:dyDescent="0.3">
      <c r="A52" t="e" vm="49">
        <v>#VALUE!</v>
      </c>
      <c r="B52" s="2" t="s">
        <v>468</v>
      </c>
      <c r="C52" s="2" t="s">
        <v>334</v>
      </c>
      <c r="D52" s="2" t="s">
        <v>376</v>
      </c>
      <c r="E52" s="2" t="s">
        <v>30</v>
      </c>
      <c r="F52" s="2" t="s">
        <v>434</v>
      </c>
      <c r="G52" s="2" t="s">
        <v>461</v>
      </c>
      <c r="H52" s="2" t="s">
        <v>469</v>
      </c>
      <c r="I52" s="2" t="s">
        <v>379</v>
      </c>
      <c r="J52" s="2" t="s">
        <v>470</v>
      </c>
      <c r="K52" s="2" t="s">
        <v>470</v>
      </c>
      <c r="L52" s="2" t="s">
        <v>37</v>
      </c>
      <c r="M52" s="5">
        <v>46255</v>
      </c>
      <c r="N52" s="2" t="s">
        <v>140</v>
      </c>
    </row>
    <row r="53" spans="1:14" ht="28.8" x14ac:dyDescent="0.3">
      <c r="A53" t="e" vm="49">
        <v>#VALUE!</v>
      </c>
      <c r="B53" s="2" t="s">
        <v>468</v>
      </c>
      <c r="C53" s="2" t="s">
        <v>334</v>
      </c>
      <c r="D53" s="2" t="s">
        <v>376</v>
      </c>
      <c r="E53" s="2" t="s">
        <v>30</v>
      </c>
      <c r="F53" s="2" t="s">
        <v>434</v>
      </c>
      <c r="G53" s="2" t="s">
        <v>461</v>
      </c>
      <c r="H53" s="2" t="s">
        <v>471</v>
      </c>
      <c r="I53" s="2" t="s">
        <v>379</v>
      </c>
      <c r="J53" s="2" t="s">
        <v>470</v>
      </c>
      <c r="K53" s="2" t="s">
        <v>470</v>
      </c>
      <c r="L53" s="2" t="s">
        <v>37</v>
      </c>
      <c r="M53" s="5">
        <v>46255</v>
      </c>
      <c r="N53" s="2" t="s">
        <v>140</v>
      </c>
    </row>
    <row r="54" spans="1:14" ht="28.8" x14ac:dyDescent="0.3">
      <c r="A54" t="e" vm="50">
        <v>#VALUE!</v>
      </c>
      <c r="B54" s="2" t="s">
        <v>472</v>
      </c>
      <c r="C54" s="2" t="s">
        <v>334</v>
      </c>
      <c r="D54" s="2" t="s">
        <v>376</v>
      </c>
      <c r="E54" s="2" t="s">
        <v>30</v>
      </c>
      <c r="F54" s="2" t="s">
        <v>473</v>
      </c>
      <c r="G54" s="2" t="s">
        <v>474</v>
      </c>
      <c r="H54" s="2" t="s">
        <v>475</v>
      </c>
      <c r="I54" s="2" t="s">
        <v>379</v>
      </c>
      <c r="J54" s="2" t="s">
        <v>476</v>
      </c>
      <c r="K54" s="2" t="s">
        <v>476</v>
      </c>
      <c r="L54" s="2" t="s">
        <v>37</v>
      </c>
      <c r="M54" s="5">
        <v>46255</v>
      </c>
      <c r="N54" s="2" t="s">
        <v>140</v>
      </c>
    </row>
    <row r="55" spans="1:14" ht="28.8" x14ac:dyDescent="0.3">
      <c r="A55" t="e" vm="50">
        <v>#VALUE!</v>
      </c>
      <c r="B55" s="2" t="s">
        <v>472</v>
      </c>
      <c r="C55" s="2" t="s">
        <v>334</v>
      </c>
      <c r="D55" s="2" t="s">
        <v>376</v>
      </c>
      <c r="E55" s="2" t="s">
        <v>30</v>
      </c>
      <c r="F55" s="2" t="s">
        <v>473</v>
      </c>
      <c r="G55" s="2" t="s">
        <v>474</v>
      </c>
      <c r="H55" s="2" t="s">
        <v>477</v>
      </c>
      <c r="I55" s="2" t="s">
        <v>379</v>
      </c>
      <c r="J55" s="2" t="s">
        <v>476</v>
      </c>
      <c r="K55" s="2" t="s">
        <v>476</v>
      </c>
      <c r="L55" s="2" t="s">
        <v>37</v>
      </c>
      <c r="M55" s="5">
        <v>46255</v>
      </c>
      <c r="N55" s="2" t="s">
        <v>140</v>
      </c>
    </row>
    <row r="56" spans="1:14" ht="28.8" x14ac:dyDescent="0.3">
      <c r="A56" t="e" vm="50">
        <v>#VALUE!</v>
      </c>
      <c r="B56" s="2" t="s">
        <v>472</v>
      </c>
      <c r="C56" s="2" t="s">
        <v>334</v>
      </c>
      <c r="D56" s="2" t="s">
        <v>376</v>
      </c>
      <c r="E56" s="2" t="s">
        <v>30</v>
      </c>
      <c r="F56" s="2" t="s">
        <v>473</v>
      </c>
      <c r="G56" s="2" t="s">
        <v>474</v>
      </c>
      <c r="H56" s="2" t="s">
        <v>478</v>
      </c>
      <c r="I56" s="2" t="s">
        <v>379</v>
      </c>
      <c r="J56" s="2" t="s">
        <v>476</v>
      </c>
      <c r="K56" s="2" t="s">
        <v>476</v>
      </c>
      <c r="L56" s="2" t="s">
        <v>37</v>
      </c>
      <c r="M56" s="5">
        <v>46255</v>
      </c>
      <c r="N56" s="2" t="s">
        <v>140</v>
      </c>
    </row>
    <row r="57" spans="1:14" ht="28.8" x14ac:dyDescent="0.3">
      <c r="A57" t="e" vm="50">
        <v>#VALUE!</v>
      </c>
      <c r="B57" s="2" t="s">
        <v>472</v>
      </c>
      <c r="C57" s="2" t="s">
        <v>334</v>
      </c>
      <c r="D57" s="2" t="s">
        <v>376</v>
      </c>
      <c r="E57" s="2" t="s">
        <v>30</v>
      </c>
      <c r="F57" s="2" t="s">
        <v>473</v>
      </c>
      <c r="G57" s="2" t="s">
        <v>474</v>
      </c>
      <c r="H57" s="2" t="s">
        <v>479</v>
      </c>
      <c r="I57" s="2" t="s">
        <v>379</v>
      </c>
      <c r="J57" s="2" t="s">
        <v>476</v>
      </c>
      <c r="K57" s="2" t="s">
        <v>476</v>
      </c>
      <c r="L57" s="2" t="s">
        <v>37</v>
      </c>
      <c r="M57" s="5">
        <v>46255</v>
      </c>
      <c r="N57" s="2" t="s">
        <v>140</v>
      </c>
    </row>
    <row r="58" spans="1:14" ht="43.2" x14ac:dyDescent="0.3">
      <c r="A58" t="e" vm="51">
        <f>_xlfn.IMAGE("https://www.google.com/s2/favicons?domain=starbucks.fr&amp;sz=128","Starbucks favicon")</f>
        <v>#VALUE!</v>
      </c>
      <c r="B58" s="2" t="s">
        <v>480</v>
      </c>
      <c r="C58" s="2" t="s">
        <v>334</v>
      </c>
      <c r="D58" s="2" t="s">
        <v>376</v>
      </c>
      <c r="E58" s="2" t="s">
        <v>30</v>
      </c>
      <c r="F58" s="2" t="s">
        <v>481</v>
      </c>
      <c r="G58" s="2" t="s">
        <v>482</v>
      </c>
      <c r="H58" s="2" t="s">
        <v>483</v>
      </c>
      <c r="I58" s="2" t="s">
        <v>379</v>
      </c>
      <c r="J58" s="2" t="s">
        <v>484</v>
      </c>
      <c r="K58" s="2" t="s">
        <v>484</v>
      </c>
      <c r="L58" s="2" t="s">
        <v>37</v>
      </c>
      <c r="M58" s="5">
        <v>46255</v>
      </c>
      <c r="N58" s="2" t="s">
        <v>485</v>
      </c>
    </row>
    <row r="59" spans="1:14" ht="43.2" x14ac:dyDescent="0.3">
      <c r="A59" t="e" vm="51">
        <f t="shared" ref="A59:A76" si="2">_xlfn.IMAGE("https://www.google.com/s2/favicons?domain=starbucks.fr&amp;sz=128","Starbucks favicon")</f>
        <v>#VALUE!</v>
      </c>
      <c r="B59" s="2" t="s">
        <v>480</v>
      </c>
      <c r="C59" s="2" t="s">
        <v>334</v>
      </c>
      <c r="D59" s="2" t="s">
        <v>376</v>
      </c>
      <c r="E59" s="2" t="s">
        <v>30</v>
      </c>
      <c r="F59" s="2" t="s">
        <v>481</v>
      </c>
      <c r="G59" s="2" t="s">
        <v>482</v>
      </c>
      <c r="H59" s="2" t="s">
        <v>486</v>
      </c>
      <c r="I59" s="2" t="s">
        <v>379</v>
      </c>
      <c r="J59" s="2" t="s">
        <v>484</v>
      </c>
      <c r="K59" s="2" t="s">
        <v>484</v>
      </c>
      <c r="L59" s="2" t="s">
        <v>37</v>
      </c>
      <c r="M59" s="5">
        <v>46255</v>
      </c>
      <c r="N59" s="2" t="s">
        <v>485</v>
      </c>
    </row>
    <row r="60" spans="1:14" ht="43.2" x14ac:dyDescent="0.3">
      <c r="A60" t="e" vm="51">
        <f t="shared" si="2"/>
        <v>#VALUE!</v>
      </c>
      <c r="B60" s="2" t="s">
        <v>480</v>
      </c>
      <c r="C60" s="2" t="s">
        <v>334</v>
      </c>
      <c r="D60" s="2" t="s">
        <v>376</v>
      </c>
      <c r="E60" s="2" t="s">
        <v>30</v>
      </c>
      <c r="F60" s="2" t="s">
        <v>481</v>
      </c>
      <c r="G60" s="2" t="s">
        <v>482</v>
      </c>
      <c r="H60" s="2" t="s">
        <v>487</v>
      </c>
      <c r="I60" s="2" t="s">
        <v>379</v>
      </c>
      <c r="J60" s="2" t="s">
        <v>484</v>
      </c>
      <c r="K60" s="2" t="s">
        <v>484</v>
      </c>
      <c r="L60" s="2" t="s">
        <v>37</v>
      </c>
      <c r="M60" s="5">
        <v>46255</v>
      </c>
      <c r="N60" s="2" t="s">
        <v>485</v>
      </c>
    </row>
    <row r="61" spans="1:14" ht="43.2" x14ac:dyDescent="0.3">
      <c r="A61" t="e" vm="51">
        <f t="shared" si="2"/>
        <v>#VALUE!</v>
      </c>
      <c r="B61" s="2" t="s">
        <v>480</v>
      </c>
      <c r="C61" s="2" t="s">
        <v>334</v>
      </c>
      <c r="D61" s="2" t="s">
        <v>376</v>
      </c>
      <c r="E61" s="2" t="s">
        <v>30</v>
      </c>
      <c r="F61" s="2" t="s">
        <v>481</v>
      </c>
      <c r="G61" s="2" t="s">
        <v>482</v>
      </c>
      <c r="H61" s="2" t="s">
        <v>488</v>
      </c>
      <c r="I61" s="2" t="s">
        <v>379</v>
      </c>
      <c r="J61" s="2" t="s">
        <v>484</v>
      </c>
      <c r="K61" s="2" t="s">
        <v>484</v>
      </c>
      <c r="L61" s="2" t="s">
        <v>37</v>
      </c>
      <c r="M61" s="5">
        <v>46255</v>
      </c>
      <c r="N61" s="2" t="s">
        <v>485</v>
      </c>
    </row>
    <row r="62" spans="1:14" ht="43.2" x14ac:dyDescent="0.3">
      <c r="A62" t="e" vm="51">
        <f t="shared" si="2"/>
        <v>#VALUE!</v>
      </c>
      <c r="B62" s="2" t="s">
        <v>480</v>
      </c>
      <c r="C62" s="2" t="s">
        <v>334</v>
      </c>
      <c r="D62" s="2" t="s">
        <v>376</v>
      </c>
      <c r="E62" s="2" t="s">
        <v>30</v>
      </c>
      <c r="F62" s="2" t="s">
        <v>481</v>
      </c>
      <c r="G62" s="2" t="s">
        <v>482</v>
      </c>
      <c r="H62" s="2" t="s">
        <v>489</v>
      </c>
      <c r="I62" s="2" t="s">
        <v>379</v>
      </c>
      <c r="J62" s="2" t="s">
        <v>484</v>
      </c>
      <c r="K62" s="2" t="s">
        <v>484</v>
      </c>
      <c r="L62" s="2" t="s">
        <v>37</v>
      </c>
      <c r="M62" s="5">
        <v>46255</v>
      </c>
      <c r="N62" s="2" t="s">
        <v>485</v>
      </c>
    </row>
    <row r="63" spans="1:14" ht="43.2" x14ac:dyDescent="0.3">
      <c r="A63" t="e" vm="51">
        <f t="shared" si="2"/>
        <v>#VALUE!</v>
      </c>
      <c r="B63" s="2" t="s">
        <v>480</v>
      </c>
      <c r="C63" s="2" t="s">
        <v>334</v>
      </c>
      <c r="D63" s="2" t="s">
        <v>376</v>
      </c>
      <c r="E63" s="2" t="s">
        <v>30</v>
      </c>
      <c r="F63" s="2" t="s">
        <v>481</v>
      </c>
      <c r="G63" s="2" t="s">
        <v>482</v>
      </c>
      <c r="H63" s="2" t="s">
        <v>490</v>
      </c>
      <c r="I63" s="2" t="s">
        <v>379</v>
      </c>
      <c r="J63" s="2" t="s">
        <v>484</v>
      </c>
      <c r="K63" s="2" t="s">
        <v>484</v>
      </c>
      <c r="L63" s="2" t="s">
        <v>37</v>
      </c>
      <c r="M63" s="5">
        <v>46255</v>
      </c>
      <c r="N63" s="2" t="s">
        <v>485</v>
      </c>
    </row>
    <row r="64" spans="1:14" ht="43.2" x14ac:dyDescent="0.3">
      <c r="A64" t="e" vm="51">
        <f t="shared" si="2"/>
        <v>#VALUE!</v>
      </c>
      <c r="B64" s="2" t="s">
        <v>480</v>
      </c>
      <c r="C64" s="2" t="s">
        <v>334</v>
      </c>
      <c r="D64" s="2" t="s">
        <v>376</v>
      </c>
      <c r="E64" s="2" t="s">
        <v>30</v>
      </c>
      <c r="F64" s="2" t="s">
        <v>481</v>
      </c>
      <c r="G64" s="2" t="s">
        <v>482</v>
      </c>
      <c r="H64" s="2" t="s">
        <v>491</v>
      </c>
      <c r="I64" s="2" t="s">
        <v>379</v>
      </c>
      <c r="J64" s="2" t="s">
        <v>484</v>
      </c>
      <c r="K64" s="2" t="s">
        <v>484</v>
      </c>
      <c r="L64" s="2" t="s">
        <v>37</v>
      </c>
      <c r="M64" s="5">
        <v>46255</v>
      </c>
      <c r="N64" s="2" t="s">
        <v>485</v>
      </c>
    </row>
    <row r="65" spans="1:14" ht="43.2" x14ac:dyDescent="0.3">
      <c r="A65" t="e" vm="51">
        <f t="shared" si="2"/>
        <v>#VALUE!</v>
      </c>
      <c r="B65" s="2" t="s">
        <v>480</v>
      </c>
      <c r="C65" s="2" t="s">
        <v>334</v>
      </c>
      <c r="D65" s="2" t="s">
        <v>376</v>
      </c>
      <c r="E65" s="2" t="s">
        <v>30</v>
      </c>
      <c r="F65" s="2" t="s">
        <v>481</v>
      </c>
      <c r="G65" s="2" t="s">
        <v>482</v>
      </c>
      <c r="H65" s="2" t="s">
        <v>492</v>
      </c>
      <c r="I65" s="2" t="s">
        <v>379</v>
      </c>
      <c r="J65" s="2" t="s">
        <v>484</v>
      </c>
      <c r="K65" s="2" t="s">
        <v>484</v>
      </c>
      <c r="L65" s="2" t="s">
        <v>37</v>
      </c>
      <c r="M65" s="5">
        <v>46255</v>
      </c>
      <c r="N65" s="2" t="s">
        <v>485</v>
      </c>
    </row>
    <row r="66" spans="1:14" ht="43.2" x14ac:dyDescent="0.3">
      <c r="A66" t="e" vm="51">
        <f t="shared" si="2"/>
        <v>#VALUE!</v>
      </c>
      <c r="B66" s="2" t="s">
        <v>480</v>
      </c>
      <c r="C66" s="2" t="s">
        <v>334</v>
      </c>
      <c r="D66" s="2" t="s">
        <v>376</v>
      </c>
      <c r="E66" s="2" t="s">
        <v>30</v>
      </c>
      <c r="F66" s="2" t="s">
        <v>481</v>
      </c>
      <c r="G66" s="2" t="s">
        <v>482</v>
      </c>
      <c r="H66" s="2" t="s">
        <v>493</v>
      </c>
      <c r="I66" s="2" t="s">
        <v>379</v>
      </c>
      <c r="J66" s="2" t="s">
        <v>484</v>
      </c>
      <c r="K66" s="2" t="s">
        <v>484</v>
      </c>
      <c r="L66" s="2" t="s">
        <v>37</v>
      </c>
      <c r="M66" s="5">
        <v>46255</v>
      </c>
      <c r="N66" s="2" t="s">
        <v>485</v>
      </c>
    </row>
    <row r="67" spans="1:14" ht="43.2" x14ac:dyDescent="0.3">
      <c r="A67" t="e" vm="51">
        <f t="shared" si="2"/>
        <v>#VALUE!</v>
      </c>
      <c r="B67" s="2" t="s">
        <v>480</v>
      </c>
      <c r="C67" s="2" t="s">
        <v>334</v>
      </c>
      <c r="D67" s="2" t="s">
        <v>376</v>
      </c>
      <c r="E67" s="2" t="s">
        <v>30</v>
      </c>
      <c r="F67" s="2" t="s">
        <v>481</v>
      </c>
      <c r="G67" s="2" t="s">
        <v>482</v>
      </c>
      <c r="H67" s="2" t="s">
        <v>494</v>
      </c>
      <c r="I67" s="2" t="s">
        <v>379</v>
      </c>
      <c r="J67" s="2" t="s">
        <v>484</v>
      </c>
      <c r="K67" s="2" t="s">
        <v>484</v>
      </c>
      <c r="L67" s="2" t="s">
        <v>37</v>
      </c>
      <c r="M67" s="5">
        <v>46255</v>
      </c>
      <c r="N67" s="2" t="s">
        <v>485</v>
      </c>
    </row>
    <row r="68" spans="1:14" ht="43.2" x14ac:dyDescent="0.3">
      <c r="A68" t="e" vm="51">
        <f t="shared" si="2"/>
        <v>#VALUE!</v>
      </c>
      <c r="B68" s="2" t="s">
        <v>480</v>
      </c>
      <c r="C68" s="2" t="s">
        <v>334</v>
      </c>
      <c r="D68" s="2" t="s">
        <v>376</v>
      </c>
      <c r="E68" s="2" t="s">
        <v>30</v>
      </c>
      <c r="F68" s="2" t="s">
        <v>481</v>
      </c>
      <c r="G68" s="2" t="s">
        <v>482</v>
      </c>
      <c r="H68" s="2" t="s">
        <v>495</v>
      </c>
      <c r="I68" s="2" t="s">
        <v>379</v>
      </c>
      <c r="J68" s="2" t="s">
        <v>484</v>
      </c>
      <c r="K68" s="2" t="s">
        <v>484</v>
      </c>
      <c r="L68" s="2" t="s">
        <v>37</v>
      </c>
      <c r="M68" s="5">
        <v>46255</v>
      </c>
      <c r="N68" s="2" t="s">
        <v>485</v>
      </c>
    </row>
    <row r="69" spans="1:14" ht="43.2" x14ac:dyDescent="0.3">
      <c r="A69" t="e" vm="51">
        <f t="shared" si="2"/>
        <v>#VALUE!</v>
      </c>
      <c r="B69" s="2" t="s">
        <v>480</v>
      </c>
      <c r="C69" s="2" t="s">
        <v>334</v>
      </c>
      <c r="D69" s="2" t="s">
        <v>376</v>
      </c>
      <c r="E69" s="2" t="s">
        <v>30</v>
      </c>
      <c r="F69" s="2" t="s">
        <v>481</v>
      </c>
      <c r="G69" s="2" t="s">
        <v>482</v>
      </c>
      <c r="H69" s="2" t="s">
        <v>496</v>
      </c>
      <c r="I69" s="2" t="s">
        <v>379</v>
      </c>
      <c r="J69" s="2" t="s">
        <v>484</v>
      </c>
      <c r="K69" s="2" t="s">
        <v>484</v>
      </c>
      <c r="L69" s="2" t="s">
        <v>37</v>
      </c>
      <c r="M69" s="5">
        <v>46255</v>
      </c>
      <c r="N69" s="2" t="s">
        <v>485</v>
      </c>
    </row>
    <row r="70" spans="1:14" ht="43.2" x14ac:dyDescent="0.3">
      <c r="A70" t="e" vm="51">
        <f t="shared" si="2"/>
        <v>#VALUE!</v>
      </c>
      <c r="B70" s="2" t="s">
        <v>480</v>
      </c>
      <c r="C70" s="2" t="s">
        <v>334</v>
      </c>
      <c r="D70" s="2" t="s">
        <v>376</v>
      </c>
      <c r="E70" s="2" t="s">
        <v>30</v>
      </c>
      <c r="F70" s="2" t="s">
        <v>481</v>
      </c>
      <c r="G70" s="2" t="s">
        <v>482</v>
      </c>
      <c r="H70" s="2" t="s">
        <v>497</v>
      </c>
      <c r="I70" s="2" t="s">
        <v>379</v>
      </c>
      <c r="J70" s="2" t="s">
        <v>484</v>
      </c>
      <c r="K70" s="2" t="s">
        <v>484</v>
      </c>
      <c r="L70" s="2" t="s">
        <v>37</v>
      </c>
      <c r="M70" s="5">
        <v>46255</v>
      </c>
      <c r="N70" s="2" t="s">
        <v>485</v>
      </c>
    </row>
    <row r="71" spans="1:14" ht="43.2" x14ac:dyDescent="0.3">
      <c r="A71" t="e" vm="51">
        <f t="shared" si="2"/>
        <v>#VALUE!</v>
      </c>
      <c r="B71" s="2" t="s">
        <v>480</v>
      </c>
      <c r="C71" s="2" t="s">
        <v>334</v>
      </c>
      <c r="D71" s="2" t="s">
        <v>376</v>
      </c>
      <c r="E71" s="2" t="s">
        <v>30</v>
      </c>
      <c r="F71" s="2" t="s">
        <v>481</v>
      </c>
      <c r="G71" s="2" t="s">
        <v>482</v>
      </c>
      <c r="H71" s="2" t="s">
        <v>498</v>
      </c>
      <c r="I71" s="2" t="s">
        <v>379</v>
      </c>
      <c r="J71" s="2" t="s">
        <v>484</v>
      </c>
      <c r="K71" s="2" t="s">
        <v>484</v>
      </c>
      <c r="L71" s="2" t="s">
        <v>37</v>
      </c>
      <c r="M71" s="5">
        <v>46255</v>
      </c>
      <c r="N71" s="2" t="s">
        <v>485</v>
      </c>
    </row>
    <row r="72" spans="1:14" ht="43.2" x14ac:dyDescent="0.3">
      <c r="A72" t="e" vm="51">
        <f t="shared" si="2"/>
        <v>#VALUE!</v>
      </c>
      <c r="B72" s="2" t="s">
        <v>480</v>
      </c>
      <c r="C72" s="2" t="s">
        <v>334</v>
      </c>
      <c r="D72" s="2" t="s">
        <v>376</v>
      </c>
      <c r="E72" s="2" t="s">
        <v>30</v>
      </c>
      <c r="F72" s="2" t="s">
        <v>481</v>
      </c>
      <c r="G72" s="2" t="s">
        <v>482</v>
      </c>
      <c r="H72" s="2" t="s">
        <v>499</v>
      </c>
      <c r="I72" s="2" t="s">
        <v>379</v>
      </c>
      <c r="J72" s="2" t="s">
        <v>484</v>
      </c>
      <c r="K72" s="2" t="s">
        <v>484</v>
      </c>
      <c r="L72" s="2" t="s">
        <v>37</v>
      </c>
      <c r="M72" s="5">
        <v>46255</v>
      </c>
      <c r="N72" s="2" t="s">
        <v>485</v>
      </c>
    </row>
    <row r="73" spans="1:14" ht="43.2" x14ac:dyDescent="0.3">
      <c r="A73" t="e" vm="51">
        <f t="shared" si="2"/>
        <v>#VALUE!</v>
      </c>
      <c r="B73" s="2" t="s">
        <v>480</v>
      </c>
      <c r="C73" s="2" t="s">
        <v>334</v>
      </c>
      <c r="D73" s="2" t="s">
        <v>376</v>
      </c>
      <c r="E73" s="2" t="s">
        <v>30</v>
      </c>
      <c r="F73" s="2" t="s">
        <v>481</v>
      </c>
      <c r="G73" s="2" t="s">
        <v>482</v>
      </c>
      <c r="H73" s="2" t="s">
        <v>500</v>
      </c>
      <c r="I73" s="2" t="s">
        <v>379</v>
      </c>
      <c r="J73" s="2" t="s">
        <v>484</v>
      </c>
      <c r="K73" s="2" t="s">
        <v>484</v>
      </c>
      <c r="L73" s="2" t="s">
        <v>37</v>
      </c>
      <c r="M73" s="5">
        <v>46255</v>
      </c>
      <c r="N73" s="2" t="s">
        <v>485</v>
      </c>
    </row>
    <row r="74" spans="1:14" ht="43.2" x14ac:dyDescent="0.3">
      <c r="A74" t="e" vm="51">
        <f t="shared" si="2"/>
        <v>#VALUE!</v>
      </c>
      <c r="B74" s="2" t="s">
        <v>480</v>
      </c>
      <c r="C74" s="2" t="s">
        <v>334</v>
      </c>
      <c r="D74" s="2" t="s">
        <v>376</v>
      </c>
      <c r="E74" s="2" t="s">
        <v>30</v>
      </c>
      <c r="F74" s="2" t="s">
        <v>481</v>
      </c>
      <c r="G74" s="2" t="s">
        <v>482</v>
      </c>
      <c r="H74" s="2" t="s">
        <v>501</v>
      </c>
      <c r="I74" s="2" t="s">
        <v>379</v>
      </c>
      <c r="J74" s="2" t="s">
        <v>484</v>
      </c>
      <c r="K74" s="2" t="s">
        <v>484</v>
      </c>
      <c r="L74" s="2" t="s">
        <v>37</v>
      </c>
      <c r="M74" s="5">
        <v>46255</v>
      </c>
      <c r="N74" s="2" t="s">
        <v>485</v>
      </c>
    </row>
    <row r="75" spans="1:14" ht="43.2" x14ac:dyDescent="0.3">
      <c r="A75" t="e" vm="51">
        <f t="shared" si="2"/>
        <v>#VALUE!</v>
      </c>
      <c r="B75" s="2" t="s">
        <v>480</v>
      </c>
      <c r="C75" s="2" t="s">
        <v>334</v>
      </c>
      <c r="D75" s="2" t="s">
        <v>376</v>
      </c>
      <c r="E75" s="2" t="s">
        <v>30</v>
      </c>
      <c r="F75" s="2" t="s">
        <v>481</v>
      </c>
      <c r="G75" s="2" t="s">
        <v>482</v>
      </c>
      <c r="H75" s="2" t="s">
        <v>502</v>
      </c>
      <c r="I75" s="2" t="s">
        <v>379</v>
      </c>
      <c r="J75" s="2" t="s">
        <v>484</v>
      </c>
      <c r="K75" s="2" t="s">
        <v>484</v>
      </c>
      <c r="L75" s="2" t="s">
        <v>37</v>
      </c>
      <c r="M75" s="5">
        <v>46255</v>
      </c>
      <c r="N75" s="2" t="s">
        <v>485</v>
      </c>
    </row>
    <row r="76" spans="1:14" ht="43.2" x14ac:dyDescent="0.3">
      <c r="A76" t="e" vm="51">
        <f t="shared" si="2"/>
        <v>#VALUE!</v>
      </c>
      <c r="B76" s="2" t="s">
        <v>480</v>
      </c>
      <c r="C76" s="2" t="s">
        <v>334</v>
      </c>
      <c r="D76" s="2" t="s">
        <v>376</v>
      </c>
      <c r="E76" s="2" t="s">
        <v>30</v>
      </c>
      <c r="F76" s="2" t="s">
        <v>481</v>
      </c>
      <c r="G76" s="2" t="s">
        <v>482</v>
      </c>
      <c r="H76" s="2" t="s">
        <v>503</v>
      </c>
      <c r="I76" s="2" t="s">
        <v>379</v>
      </c>
      <c r="J76" s="2" t="s">
        <v>484</v>
      </c>
      <c r="K76" s="2" t="s">
        <v>484</v>
      </c>
      <c r="L76" s="2" t="s">
        <v>37</v>
      </c>
      <c r="M76" s="5">
        <v>46255</v>
      </c>
      <c r="N76" s="2" t="s">
        <v>485</v>
      </c>
    </row>
    <row r="77" spans="1:14" ht="43.2" x14ac:dyDescent="0.3">
      <c r="A77" t="e" vm="52">
        <v>#VALUE!</v>
      </c>
      <c r="B77" s="2" t="s">
        <v>504</v>
      </c>
      <c r="C77" s="2" t="s">
        <v>505</v>
      </c>
      <c r="D77" s="2" t="s">
        <v>29</v>
      </c>
      <c r="E77" s="2" t="s">
        <v>30</v>
      </c>
      <c r="F77" s="2" t="s">
        <v>506</v>
      </c>
      <c r="G77" s="2" t="s">
        <v>507</v>
      </c>
      <c r="H77" s="2" t="s">
        <v>508</v>
      </c>
      <c r="I77" s="2" t="s">
        <v>34</v>
      </c>
      <c r="J77" s="2" t="s">
        <v>509</v>
      </c>
      <c r="K77" s="2" t="s">
        <v>509</v>
      </c>
      <c r="L77" s="2" t="s">
        <v>37</v>
      </c>
      <c r="M77" s="5">
        <v>46255</v>
      </c>
      <c r="N77" s="2" t="s">
        <v>485</v>
      </c>
    </row>
    <row r="78" spans="1:14" ht="28.8" x14ac:dyDescent="0.3">
      <c r="A78" t="e" vm="53">
        <v>#VALUE!</v>
      </c>
      <c r="B78" s="2" t="s">
        <v>510</v>
      </c>
      <c r="C78" s="2" t="s">
        <v>505</v>
      </c>
      <c r="D78" s="2" t="s">
        <v>376</v>
      </c>
      <c r="E78" s="2" t="s">
        <v>30</v>
      </c>
      <c r="F78" s="2" t="s">
        <v>511</v>
      </c>
      <c r="G78" s="2" t="s">
        <v>512</v>
      </c>
      <c r="H78" s="2" t="s">
        <v>513</v>
      </c>
      <c r="I78" s="2" t="s">
        <v>379</v>
      </c>
      <c r="J78" s="2" t="s">
        <v>514</v>
      </c>
      <c r="K78" s="2" t="s">
        <v>514</v>
      </c>
      <c r="L78" s="2" t="s">
        <v>37</v>
      </c>
      <c r="M78" s="5">
        <v>46255</v>
      </c>
      <c r="N78" s="2" t="s">
        <v>140</v>
      </c>
    </row>
    <row r="79" spans="1:14" ht="28.8" x14ac:dyDescent="0.3">
      <c r="A79" t="e" vm="53">
        <v>#VALUE!</v>
      </c>
      <c r="B79" s="2" t="s">
        <v>510</v>
      </c>
      <c r="C79" s="2" t="s">
        <v>505</v>
      </c>
      <c r="D79" s="2" t="s">
        <v>376</v>
      </c>
      <c r="E79" s="2" t="s">
        <v>30</v>
      </c>
      <c r="F79" s="2" t="s">
        <v>511</v>
      </c>
      <c r="G79" s="2" t="s">
        <v>512</v>
      </c>
      <c r="H79" s="2" t="s">
        <v>515</v>
      </c>
      <c r="I79" s="2" t="s">
        <v>379</v>
      </c>
      <c r="J79" s="2" t="s">
        <v>514</v>
      </c>
      <c r="K79" s="2" t="s">
        <v>514</v>
      </c>
      <c r="L79" s="2" t="s">
        <v>37</v>
      </c>
      <c r="M79" s="5">
        <v>46255</v>
      </c>
      <c r="N79" s="2" t="s">
        <v>140</v>
      </c>
    </row>
    <row r="80" spans="1:14" ht="28.8" x14ac:dyDescent="0.3">
      <c r="A80" t="e" vm="53">
        <v>#VALUE!</v>
      </c>
      <c r="B80" s="2" t="s">
        <v>510</v>
      </c>
      <c r="C80" s="2" t="s">
        <v>505</v>
      </c>
      <c r="D80" s="2" t="s">
        <v>376</v>
      </c>
      <c r="E80" s="2" t="s">
        <v>30</v>
      </c>
      <c r="F80" s="2" t="s">
        <v>511</v>
      </c>
      <c r="G80" s="2" t="s">
        <v>512</v>
      </c>
      <c r="H80" s="2" t="s">
        <v>516</v>
      </c>
      <c r="I80" s="2" t="s">
        <v>379</v>
      </c>
      <c r="J80" s="2" t="s">
        <v>514</v>
      </c>
      <c r="K80" s="2" t="s">
        <v>514</v>
      </c>
      <c r="L80" s="2" t="s">
        <v>37</v>
      </c>
      <c r="M80" s="5">
        <v>46255</v>
      </c>
      <c r="N80" s="2" t="s">
        <v>140</v>
      </c>
    </row>
    <row r="81" spans="1:14" ht="28.8" x14ac:dyDescent="0.3">
      <c r="A81" t="e" vm="53">
        <v>#VALUE!</v>
      </c>
      <c r="B81" s="2" t="s">
        <v>510</v>
      </c>
      <c r="C81" s="2" t="s">
        <v>505</v>
      </c>
      <c r="D81" s="2" t="s">
        <v>376</v>
      </c>
      <c r="E81" s="2" t="s">
        <v>30</v>
      </c>
      <c r="F81" s="2" t="s">
        <v>511</v>
      </c>
      <c r="G81" s="2" t="s">
        <v>512</v>
      </c>
      <c r="H81" s="2" t="s">
        <v>517</v>
      </c>
      <c r="I81" s="2" t="s">
        <v>379</v>
      </c>
      <c r="J81" s="2" t="s">
        <v>514</v>
      </c>
      <c r="K81" s="2" t="s">
        <v>514</v>
      </c>
      <c r="L81" s="2" t="s">
        <v>37</v>
      </c>
      <c r="M81" s="5">
        <v>46255</v>
      </c>
      <c r="N81" s="2" t="s">
        <v>140</v>
      </c>
    </row>
    <row r="82" spans="1:14" ht="28.8" x14ac:dyDescent="0.3">
      <c r="A82" t="e" vm="53">
        <v>#VALUE!</v>
      </c>
      <c r="B82" s="2" t="s">
        <v>510</v>
      </c>
      <c r="C82" s="2" t="s">
        <v>505</v>
      </c>
      <c r="D82" s="2" t="s">
        <v>376</v>
      </c>
      <c r="E82" s="2" t="s">
        <v>30</v>
      </c>
      <c r="F82" s="2" t="s">
        <v>511</v>
      </c>
      <c r="G82" s="2" t="s">
        <v>512</v>
      </c>
      <c r="H82" s="2" t="s">
        <v>518</v>
      </c>
      <c r="I82" s="2" t="s">
        <v>379</v>
      </c>
      <c r="J82" s="2" t="s">
        <v>514</v>
      </c>
      <c r="K82" s="2" t="s">
        <v>514</v>
      </c>
      <c r="L82" s="2" t="s">
        <v>37</v>
      </c>
      <c r="M82" s="5">
        <v>46255</v>
      </c>
      <c r="N82" s="2" t="s">
        <v>140</v>
      </c>
    </row>
    <row r="83" spans="1:14" ht="28.8" x14ac:dyDescent="0.3">
      <c r="A83" t="e" vm="53">
        <v>#VALUE!</v>
      </c>
      <c r="B83" s="2" t="s">
        <v>510</v>
      </c>
      <c r="C83" s="2" t="s">
        <v>505</v>
      </c>
      <c r="D83" s="2" t="s">
        <v>376</v>
      </c>
      <c r="E83" s="2" t="s">
        <v>30</v>
      </c>
      <c r="F83" s="2" t="s">
        <v>511</v>
      </c>
      <c r="G83" s="2" t="s">
        <v>512</v>
      </c>
      <c r="H83" s="2" t="s">
        <v>519</v>
      </c>
      <c r="I83" s="2" t="s">
        <v>379</v>
      </c>
      <c r="J83" s="2" t="s">
        <v>514</v>
      </c>
      <c r="K83" s="2" t="s">
        <v>514</v>
      </c>
      <c r="L83" s="2" t="s">
        <v>37</v>
      </c>
      <c r="M83" s="5">
        <v>46255</v>
      </c>
      <c r="N83" s="2" t="s">
        <v>140</v>
      </c>
    </row>
  </sheetData>
  <autoFilter ref="A1:N83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3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22" customWidth="1"/>
    <col min="3" max="4" width="24" customWidth="1"/>
    <col min="5" max="5" width="20" customWidth="1"/>
    <col min="6" max="6" width="28" customWidth="1"/>
    <col min="7" max="7" width="42" customWidth="1"/>
    <col min="8" max="8" width="48" customWidth="1"/>
    <col min="9" max="9" width="30" customWidth="1"/>
    <col min="10" max="10" width="55" customWidth="1"/>
    <col min="11" max="11" width="42" customWidth="1"/>
    <col min="12" max="12" width="24" customWidth="1"/>
    <col min="13" max="13" width="16" customWidth="1"/>
    <col min="14" max="14" width="75" customWidth="1"/>
  </cols>
  <sheetData>
    <row r="1" spans="1:14" ht="31.95" customHeight="1" x14ac:dyDescent="0.3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L1" s="4" t="s">
        <v>24</v>
      </c>
      <c r="M1" s="4" t="s">
        <v>25</v>
      </c>
      <c r="N1" s="4" t="s">
        <v>26</v>
      </c>
    </row>
    <row r="2" spans="1:14" ht="43.2" x14ac:dyDescent="0.3">
      <c r="A2" s="2"/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33</v>
      </c>
      <c r="I2" s="2" t="s">
        <v>34</v>
      </c>
      <c r="J2" s="2" t="s">
        <v>35</v>
      </c>
      <c r="K2" s="2" t="s">
        <v>36</v>
      </c>
      <c r="L2" s="2" t="s">
        <v>37</v>
      </c>
      <c r="M2" s="5">
        <v>46255</v>
      </c>
      <c r="N2" s="2" t="s">
        <v>38</v>
      </c>
    </row>
    <row r="3" spans="1:14" ht="28.8" x14ac:dyDescent="0.3">
      <c r="A3" s="2"/>
      <c r="B3" s="2" t="s">
        <v>39</v>
      </c>
      <c r="C3" s="2" t="s">
        <v>40</v>
      </c>
      <c r="D3" s="2" t="s">
        <v>29</v>
      </c>
      <c r="E3" s="2" t="s">
        <v>30</v>
      </c>
      <c r="F3" s="2" t="s">
        <v>41</v>
      </c>
      <c r="G3" s="2" t="s">
        <v>42</v>
      </c>
      <c r="H3" s="2" t="s">
        <v>43</v>
      </c>
      <c r="I3" s="2" t="s">
        <v>34</v>
      </c>
      <c r="J3" s="2" t="s">
        <v>44</v>
      </c>
      <c r="K3" s="2" t="s">
        <v>45</v>
      </c>
      <c r="L3" s="2" t="s">
        <v>37</v>
      </c>
      <c r="M3" s="5">
        <v>46255</v>
      </c>
      <c r="N3" s="2" t="s">
        <v>46</v>
      </c>
    </row>
    <row r="4" spans="1:14" ht="43.2" x14ac:dyDescent="0.3">
      <c r="A4" s="2"/>
      <c r="B4" s="2" t="s">
        <v>47</v>
      </c>
      <c r="C4" s="2" t="s">
        <v>28</v>
      </c>
      <c r="D4" s="2" t="s">
        <v>29</v>
      </c>
      <c r="E4" s="2" t="s">
        <v>30</v>
      </c>
      <c r="F4" s="2" t="s">
        <v>48</v>
      </c>
      <c r="G4" s="2" t="s">
        <v>49</v>
      </c>
      <c r="H4" s="2" t="s">
        <v>50</v>
      </c>
      <c r="I4" s="2" t="s">
        <v>34</v>
      </c>
      <c r="J4" s="2" t="s">
        <v>51</v>
      </c>
      <c r="K4" s="2" t="s">
        <v>52</v>
      </c>
      <c r="L4" s="2" t="s">
        <v>37</v>
      </c>
      <c r="M4" s="5">
        <v>46255</v>
      </c>
      <c r="N4" s="2" t="s">
        <v>53</v>
      </c>
    </row>
    <row r="5" spans="1:14" ht="28.8" x14ac:dyDescent="0.3">
      <c r="A5" s="2"/>
      <c r="B5" s="2" t="s">
        <v>54</v>
      </c>
      <c r="C5" s="2" t="s">
        <v>28</v>
      </c>
      <c r="D5" s="2" t="s">
        <v>29</v>
      </c>
      <c r="E5" s="2" t="s">
        <v>30</v>
      </c>
      <c r="F5" s="2" t="s">
        <v>55</v>
      </c>
      <c r="G5" s="2" t="s">
        <v>56</v>
      </c>
      <c r="H5" s="2" t="s">
        <v>57</v>
      </c>
      <c r="I5" s="2" t="s">
        <v>34</v>
      </c>
      <c r="J5" s="2" t="s">
        <v>58</v>
      </c>
      <c r="K5" s="2" t="s">
        <v>59</v>
      </c>
      <c r="L5" s="2" t="s">
        <v>37</v>
      </c>
      <c r="M5" s="5">
        <v>46255</v>
      </c>
      <c r="N5" s="2" t="s">
        <v>46</v>
      </c>
    </row>
    <row r="6" spans="1:14" ht="28.8" x14ac:dyDescent="0.3">
      <c r="A6" s="2"/>
      <c r="B6" s="2" t="s">
        <v>60</v>
      </c>
      <c r="C6" s="2" t="s">
        <v>28</v>
      </c>
      <c r="D6" s="2" t="s">
        <v>29</v>
      </c>
      <c r="E6" s="2" t="s">
        <v>30</v>
      </c>
      <c r="F6" s="2" t="s">
        <v>61</v>
      </c>
      <c r="G6" s="2" t="s">
        <v>62</v>
      </c>
      <c r="H6" s="2" t="s">
        <v>63</v>
      </c>
      <c r="I6" s="2" t="s">
        <v>34</v>
      </c>
      <c r="J6" s="2" t="s">
        <v>64</v>
      </c>
      <c r="K6" s="2" t="s">
        <v>65</v>
      </c>
      <c r="L6" s="2" t="s">
        <v>37</v>
      </c>
      <c r="M6" s="5">
        <v>46255</v>
      </c>
      <c r="N6" s="2" t="s">
        <v>66</v>
      </c>
    </row>
    <row r="7" spans="1:14" ht="43.2" x14ac:dyDescent="0.3">
      <c r="A7" s="2"/>
      <c r="B7" s="2" t="s">
        <v>67</v>
      </c>
      <c r="C7" s="2" t="s">
        <v>28</v>
      </c>
      <c r="D7" s="2" t="s">
        <v>68</v>
      </c>
      <c r="E7" s="2" t="s">
        <v>30</v>
      </c>
      <c r="F7" s="2" t="s">
        <v>69</v>
      </c>
      <c r="G7" s="2" t="s">
        <v>70</v>
      </c>
      <c r="H7" s="2" t="s">
        <v>71</v>
      </c>
      <c r="I7" s="2" t="s">
        <v>34</v>
      </c>
      <c r="J7" s="2" t="s">
        <v>72</v>
      </c>
      <c r="K7" s="2" t="s">
        <v>73</v>
      </c>
      <c r="L7" s="2" t="s">
        <v>37</v>
      </c>
      <c r="M7" s="5">
        <v>46255</v>
      </c>
      <c r="N7" s="2" t="s">
        <v>74</v>
      </c>
    </row>
    <row r="8" spans="1:14" ht="43.2" x14ac:dyDescent="0.3">
      <c r="A8" s="2"/>
      <c r="B8" s="2" t="s">
        <v>75</v>
      </c>
      <c r="C8" s="2" t="s">
        <v>28</v>
      </c>
      <c r="D8" s="2" t="s">
        <v>76</v>
      </c>
      <c r="E8" s="2" t="s">
        <v>30</v>
      </c>
      <c r="F8" s="2" t="s">
        <v>77</v>
      </c>
      <c r="G8" s="2" t="s">
        <v>78</v>
      </c>
      <c r="H8" s="2" t="s">
        <v>79</v>
      </c>
      <c r="I8" s="2" t="s">
        <v>34</v>
      </c>
      <c r="J8" s="2" t="s">
        <v>80</v>
      </c>
      <c r="K8" s="2" t="s">
        <v>81</v>
      </c>
      <c r="L8" s="2" t="s">
        <v>37</v>
      </c>
      <c r="M8" s="5">
        <v>46255</v>
      </c>
      <c r="N8" s="2" t="s">
        <v>82</v>
      </c>
    </row>
    <row r="9" spans="1:14" ht="43.2" x14ac:dyDescent="0.3">
      <c r="A9" s="2"/>
      <c r="B9" s="2" t="s">
        <v>83</v>
      </c>
      <c r="C9" s="2" t="s">
        <v>28</v>
      </c>
      <c r="D9" s="2" t="s">
        <v>29</v>
      </c>
      <c r="E9" s="2" t="s">
        <v>30</v>
      </c>
      <c r="F9" s="2" t="s">
        <v>84</v>
      </c>
      <c r="G9" s="2" t="s">
        <v>85</v>
      </c>
      <c r="H9" s="2" t="s">
        <v>86</v>
      </c>
      <c r="I9" s="2" t="s">
        <v>34</v>
      </c>
      <c r="J9" s="2" t="s">
        <v>87</v>
      </c>
      <c r="K9" s="2" t="s">
        <v>88</v>
      </c>
      <c r="L9" s="2" t="s">
        <v>37</v>
      </c>
      <c r="M9" s="5">
        <v>46255</v>
      </c>
      <c r="N9" s="2" t="s">
        <v>89</v>
      </c>
    </row>
    <row r="10" spans="1:14" ht="28.8" x14ac:dyDescent="0.3">
      <c r="A10" s="2"/>
      <c r="B10" s="2" t="s">
        <v>90</v>
      </c>
      <c r="C10" s="2" t="s">
        <v>28</v>
      </c>
      <c r="D10" s="2" t="s">
        <v>91</v>
      </c>
      <c r="E10" s="2" t="s">
        <v>30</v>
      </c>
      <c r="F10" s="2" t="s">
        <v>92</v>
      </c>
      <c r="G10" s="2" t="s">
        <v>93</v>
      </c>
      <c r="H10" s="2" t="s">
        <v>94</v>
      </c>
      <c r="I10" s="2" t="s">
        <v>34</v>
      </c>
      <c r="J10" s="2" t="s">
        <v>95</v>
      </c>
      <c r="K10" s="2" t="s">
        <v>96</v>
      </c>
      <c r="L10" s="2" t="s">
        <v>37</v>
      </c>
      <c r="M10" s="5">
        <v>46255</v>
      </c>
      <c r="N10" s="2" t="s">
        <v>46</v>
      </c>
    </row>
    <row r="11" spans="1:14" ht="43.2" x14ac:dyDescent="0.3">
      <c r="A11" s="2"/>
      <c r="B11" s="2" t="s">
        <v>97</v>
      </c>
      <c r="C11" s="2" t="s">
        <v>28</v>
      </c>
      <c r="D11" s="2" t="s">
        <v>98</v>
      </c>
      <c r="E11" s="2" t="s">
        <v>30</v>
      </c>
      <c r="F11" s="2" t="s">
        <v>99</v>
      </c>
      <c r="G11" s="2" t="s">
        <v>100</v>
      </c>
      <c r="H11" s="2" t="s">
        <v>101</v>
      </c>
      <c r="I11" s="2" t="s">
        <v>34</v>
      </c>
      <c r="J11" s="2" t="s">
        <v>102</v>
      </c>
      <c r="K11" s="2" t="s">
        <v>103</v>
      </c>
      <c r="L11" s="2" t="s">
        <v>37</v>
      </c>
      <c r="M11" s="5">
        <v>46255</v>
      </c>
      <c r="N11" s="2" t="s">
        <v>104</v>
      </c>
    </row>
    <row r="12" spans="1:14" ht="43.2" x14ac:dyDescent="0.3">
      <c r="A12" s="2"/>
      <c r="B12" s="2" t="s">
        <v>105</v>
      </c>
      <c r="C12" s="2" t="s">
        <v>28</v>
      </c>
      <c r="D12" s="2" t="s">
        <v>106</v>
      </c>
      <c r="E12" s="2" t="s">
        <v>30</v>
      </c>
      <c r="F12" s="2" t="s">
        <v>107</v>
      </c>
      <c r="G12" s="2" t="s">
        <v>108</v>
      </c>
      <c r="H12" s="2" t="s">
        <v>109</v>
      </c>
      <c r="I12" s="2" t="s">
        <v>34</v>
      </c>
      <c r="J12" s="2" t="s">
        <v>110</v>
      </c>
      <c r="K12" s="2" t="s">
        <v>111</v>
      </c>
      <c r="L12" s="2" t="s">
        <v>37</v>
      </c>
      <c r="M12" s="5">
        <v>46255</v>
      </c>
      <c r="N12" s="2" t="s">
        <v>112</v>
      </c>
    </row>
    <row r="13" spans="1:14" ht="43.2" x14ac:dyDescent="0.3">
      <c r="A13" s="2"/>
      <c r="B13" s="2" t="s">
        <v>113</v>
      </c>
      <c r="C13" s="2" t="s">
        <v>28</v>
      </c>
      <c r="D13" s="2" t="s">
        <v>114</v>
      </c>
      <c r="E13" s="2" t="s">
        <v>30</v>
      </c>
      <c r="F13" s="2" t="s">
        <v>115</v>
      </c>
      <c r="G13" s="2" t="s">
        <v>116</v>
      </c>
      <c r="H13" s="2" t="s">
        <v>117</v>
      </c>
      <c r="I13" s="2" t="s">
        <v>34</v>
      </c>
      <c r="J13" s="2" t="s">
        <v>118</v>
      </c>
      <c r="K13" s="2" t="s">
        <v>119</v>
      </c>
      <c r="L13" s="2" t="s">
        <v>37</v>
      </c>
      <c r="M13" s="5">
        <v>46255</v>
      </c>
      <c r="N13" s="2" t="s">
        <v>120</v>
      </c>
    </row>
    <row r="14" spans="1:14" ht="28.8" x14ac:dyDescent="0.3">
      <c r="A14" s="2"/>
      <c r="B14" s="2" t="s">
        <v>121</v>
      </c>
      <c r="C14" s="2" t="s">
        <v>28</v>
      </c>
      <c r="D14" s="2" t="s">
        <v>68</v>
      </c>
      <c r="E14" s="2" t="s">
        <v>30</v>
      </c>
      <c r="F14" s="2" t="s">
        <v>122</v>
      </c>
      <c r="G14" s="2" t="s">
        <v>123</v>
      </c>
      <c r="H14" s="2" t="s">
        <v>124</v>
      </c>
      <c r="I14" s="2" t="s">
        <v>34</v>
      </c>
      <c r="J14" s="2" t="s">
        <v>125</v>
      </c>
      <c r="K14" s="2" t="s">
        <v>126</v>
      </c>
      <c r="L14" s="2" t="s">
        <v>37</v>
      </c>
      <c r="M14" s="5">
        <v>46255</v>
      </c>
      <c r="N14" s="2" t="s">
        <v>66</v>
      </c>
    </row>
    <row r="15" spans="1:14" ht="43.2" x14ac:dyDescent="0.3">
      <c r="A15" s="2"/>
      <c r="B15" s="2" t="s">
        <v>127</v>
      </c>
      <c r="C15" s="2" t="s">
        <v>28</v>
      </c>
      <c r="D15" s="2" t="s">
        <v>76</v>
      </c>
      <c r="E15" s="2" t="s">
        <v>30</v>
      </c>
      <c r="F15" s="2" t="s">
        <v>128</v>
      </c>
      <c r="G15" s="2" t="s">
        <v>129</v>
      </c>
      <c r="H15" s="2" t="s">
        <v>130</v>
      </c>
      <c r="I15" s="2" t="s">
        <v>34</v>
      </c>
      <c r="J15" s="2" t="s">
        <v>131</v>
      </c>
      <c r="K15" s="2" t="s">
        <v>132</v>
      </c>
      <c r="L15" s="2" t="s">
        <v>37</v>
      </c>
      <c r="M15" s="5">
        <v>46255</v>
      </c>
      <c r="N15" s="2" t="s">
        <v>133</v>
      </c>
    </row>
    <row r="16" spans="1:14" ht="28.8" x14ac:dyDescent="0.3">
      <c r="A16" s="2"/>
      <c r="B16" s="2" t="s">
        <v>134</v>
      </c>
      <c r="C16" s="2" t="s">
        <v>28</v>
      </c>
      <c r="D16" s="2" t="s">
        <v>76</v>
      </c>
      <c r="E16" s="2" t="s">
        <v>30</v>
      </c>
      <c r="F16" s="2" t="s">
        <v>135</v>
      </c>
      <c r="G16" s="2" t="s">
        <v>136</v>
      </c>
      <c r="H16" s="2" t="s">
        <v>137</v>
      </c>
      <c r="I16" s="2" t="s">
        <v>34</v>
      </c>
      <c r="J16" s="2" t="s">
        <v>138</v>
      </c>
      <c r="K16" s="2" t="s">
        <v>139</v>
      </c>
      <c r="L16" s="2" t="s">
        <v>37</v>
      </c>
      <c r="M16" s="5">
        <v>46255</v>
      </c>
      <c r="N16" s="2" t="s">
        <v>140</v>
      </c>
    </row>
    <row r="17" spans="1:14" ht="28.8" x14ac:dyDescent="0.3">
      <c r="A17" s="2"/>
      <c r="B17" s="2" t="s">
        <v>141</v>
      </c>
      <c r="C17" s="2" t="s">
        <v>28</v>
      </c>
      <c r="D17" s="2" t="s">
        <v>142</v>
      </c>
      <c r="E17" s="2" t="s">
        <v>30</v>
      </c>
      <c r="F17" s="2" t="s">
        <v>143</v>
      </c>
      <c r="G17" s="2" t="s">
        <v>144</v>
      </c>
      <c r="H17" s="2" t="s">
        <v>145</v>
      </c>
      <c r="I17" s="2" t="s">
        <v>34</v>
      </c>
      <c r="J17" s="2" t="s">
        <v>146</v>
      </c>
      <c r="K17" s="2" t="s">
        <v>147</v>
      </c>
      <c r="L17" s="2" t="s">
        <v>37</v>
      </c>
      <c r="M17" s="5">
        <v>46255</v>
      </c>
      <c r="N17" s="2" t="s">
        <v>148</v>
      </c>
    </row>
    <row r="18" spans="1:14" ht="43.2" x14ac:dyDescent="0.3">
      <c r="A18" s="2"/>
      <c r="B18" s="2" t="s">
        <v>149</v>
      </c>
      <c r="C18" s="2" t="s">
        <v>28</v>
      </c>
      <c r="D18" s="2" t="s">
        <v>68</v>
      </c>
      <c r="E18" s="2" t="s">
        <v>30</v>
      </c>
      <c r="F18" s="2" t="s">
        <v>150</v>
      </c>
      <c r="G18" s="2" t="s">
        <v>151</v>
      </c>
      <c r="H18" s="2" t="s">
        <v>152</v>
      </c>
      <c r="I18" s="2" t="s">
        <v>34</v>
      </c>
      <c r="J18" s="2" t="s">
        <v>153</v>
      </c>
      <c r="K18" s="2" t="s">
        <v>154</v>
      </c>
      <c r="L18" s="2" t="s">
        <v>37</v>
      </c>
      <c r="M18" s="5">
        <v>46255</v>
      </c>
      <c r="N18" s="2" t="s">
        <v>155</v>
      </c>
    </row>
    <row r="19" spans="1:14" ht="28.8" x14ac:dyDescent="0.3">
      <c r="A19" s="2"/>
      <c r="B19" s="2" t="s">
        <v>156</v>
      </c>
      <c r="C19" s="2" t="s">
        <v>28</v>
      </c>
      <c r="D19" s="2" t="s">
        <v>76</v>
      </c>
      <c r="E19" s="2" t="s">
        <v>30</v>
      </c>
      <c r="F19" s="2" t="s">
        <v>157</v>
      </c>
      <c r="G19" s="2" t="s">
        <v>158</v>
      </c>
      <c r="H19" s="2" t="s">
        <v>159</v>
      </c>
      <c r="I19" s="2" t="s">
        <v>34</v>
      </c>
      <c r="J19" s="2" t="s">
        <v>160</v>
      </c>
      <c r="K19" s="2" t="s">
        <v>161</v>
      </c>
      <c r="L19" s="2" t="s">
        <v>37</v>
      </c>
      <c r="M19" s="5">
        <v>46255</v>
      </c>
      <c r="N19" s="2" t="s">
        <v>66</v>
      </c>
    </row>
    <row r="20" spans="1:14" ht="43.2" x14ac:dyDescent="0.3">
      <c r="A20" s="2"/>
      <c r="B20" s="2" t="s">
        <v>162</v>
      </c>
      <c r="C20" s="2" t="s">
        <v>28</v>
      </c>
      <c r="D20" s="2" t="s">
        <v>163</v>
      </c>
      <c r="E20" s="2" t="s">
        <v>30</v>
      </c>
      <c r="F20" s="2" t="s">
        <v>164</v>
      </c>
      <c r="G20" s="2" t="s">
        <v>165</v>
      </c>
      <c r="H20" s="2" t="s">
        <v>166</v>
      </c>
      <c r="I20" s="2" t="s">
        <v>34</v>
      </c>
      <c r="J20" s="2" t="s">
        <v>167</v>
      </c>
      <c r="K20" s="2" t="s">
        <v>168</v>
      </c>
      <c r="L20" s="2" t="s">
        <v>37</v>
      </c>
      <c r="M20" s="5">
        <v>46255</v>
      </c>
      <c r="N20" s="2" t="s">
        <v>169</v>
      </c>
    </row>
    <row r="21" spans="1:14" ht="43.2" x14ac:dyDescent="0.3">
      <c r="A21" s="2"/>
      <c r="B21" s="2" t="s">
        <v>170</v>
      </c>
      <c r="C21" s="2" t="s">
        <v>28</v>
      </c>
      <c r="D21" s="2" t="s">
        <v>106</v>
      </c>
      <c r="E21" s="2" t="s">
        <v>30</v>
      </c>
      <c r="F21" s="2" t="s">
        <v>171</v>
      </c>
      <c r="G21" s="2" t="s">
        <v>172</v>
      </c>
      <c r="H21" s="2" t="s">
        <v>173</v>
      </c>
      <c r="I21" s="2" t="s">
        <v>34</v>
      </c>
      <c r="J21" s="2" t="s">
        <v>174</v>
      </c>
      <c r="K21" s="2" t="s">
        <v>175</v>
      </c>
      <c r="L21" s="2" t="s">
        <v>37</v>
      </c>
      <c r="M21" s="5">
        <v>46255</v>
      </c>
      <c r="N21" s="2" t="s">
        <v>176</v>
      </c>
    </row>
    <row r="22" spans="1:14" ht="28.8" x14ac:dyDescent="0.3">
      <c r="A22" s="2"/>
      <c r="B22" s="2" t="s">
        <v>177</v>
      </c>
      <c r="C22" s="2" t="s">
        <v>28</v>
      </c>
      <c r="D22" s="2" t="s">
        <v>98</v>
      </c>
      <c r="E22" s="2" t="s">
        <v>30</v>
      </c>
      <c r="F22" s="2" t="s">
        <v>178</v>
      </c>
      <c r="G22" s="2" t="s">
        <v>179</v>
      </c>
      <c r="H22" s="2" t="s">
        <v>180</v>
      </c>
      <c r="I22" s="2" t="s">
        <v>34</v>
      </c>
      <c r="J22" s="2" t="s">
        <v>181</v>
      </c>
      <c r="K22" s="2" t="s">
        <v>182</v>
      </c>
      <c r="L22" s="2" t="s">
        <v>37</v>
      </c>
      <c r="M22" s="5">
        <v>46255</v>
      </c>
      <c r="N22" s="2" t="s">
        <v>66</v>
      </c>
    </row>
    <row r="23" spans="1:14" ht="43.2" x14ac:dyDescent="0.3">
      <c r="A23" s="2"/>
      <c r="B23" s="2" t="s">
        <v>183</v>
      </c>
      <c r="C23" s="2" t="s">
        <v>28</v>
      </c>
      <c r="D23" s="2" t="s">
        <v>29</v>
      </c>
      <c r="E23" s="2" t="s">
        <v>30</v>
      </c>
      <c r="F23" s="2" t="s">
        <v>184</v>
      </c>
      <c r="G23" s="2" t="s">
        <v>185</v>
      </c>
      <c r="H23" s="2" t="s">
        <v>186</v>
      </c>
      <c r="I23" s="2" t="s">
        <v>34</v>
      </c>
      <c r="J23" s="2" t="s">
        <v>187</v>
      </c>
      <c r="K23" s="2" t="s">
        <v>188</v>
      </c>
      <c r="L23" s="2" t="s">
        <v>37</v>
      </c>
      <c r="M23" s="5">
        <v>46255</v>
      </c>
      <c r="N23" s="2" t="s">
        <v>155</v>
      </c>
    </row>
    <row r="24" spans="1:14" ht="43.2" x14ac:dyDescent="0.3">
      <c r="A24" s="2"/>
      <c r="B24" s="2" t="s">
        <v>189</v>
      </c>
      <c r="C24" s="2" t="s">
        <v>28</v>
      </c>
      <c r="D24" s="2" t="s">
        <v>190</v>
      </c>
      <c r="E24" s="2" t="s">
        <v>30</v>
      </c>
      <c r="F24" s="2" t="s">
        <v>191</v>
      </c>
      <c r="G24" s="2" t="s">
        <v>192</v>
      </c>
      <c r="H24" s="2" t="s">
        <v>193</v>
      </c>
      <c r="I24" s="2" t="s">
        <v>34</v>
      </c>
      <c r="J24" s="2" t="s">
        <v>194</v>
      </c>
      <c r="K24" s="2" t="s">
        <v>195</v>
      </c>
      <c r="L24" s="2" t="s">
        <v>37</v>
      </c>
      <c r="M24" s="5">
        <v>46255</v>
      </c>
      <c r="N24" s="2" t="s">
        <v>196</v>
      </c>
    </row>
    <row r="25" spans="1:14" ht="43.2" x14ac:dyDescent="0.3">
      <c r="A25" s="2"/>
      <c r="B25" s="2" t="s">
        <v>197</v>
      </c>
      <c r="C25" s="2" t="s">
        <v>28</v>
      </c>
      <c r="D25" s="2" t="s">
        <v>29</v>
      </c>
      <c r="E25" s="2" t="s">
        <v>30</v>
      </c>
      <c r="F25" s="2" t="s">
        <v>198</v>
      </c>
      <c r="G25" s="2" t="s">
        <v>199</v>
      </c>
      <c r="H25" s="2" t="s">
        <v>200</v>
      </c>
      <c r="I25" s="2" t="s">
        <v>34</v>
      </c>
      <c r="J25" s="2" t="s">
        <v>201</v>
      </c>
      <c r="K25" s="2" t="s">
        <v>202</v>
      </c>
      <c r="L25" s="2" t="s">
        <v>37</v>
      </c>
      <c r="M25" s="5">
        <v>46255</v>
      </c>
      <c r="N25" s="2" t="s">
        <v>203</v>
      </c>
    </row>
    <row r="26" spans="1:14" ht="43.2" x14ac:dyDescent="0.3">
      <c r="A26" s="2"/>
      <c r="B26" s="2" t="s">
        <v>204</v>
      </c>
      <c r="C26" s="2" t="s">
        <v>28</v>
      </c>
      <c r="D26" s="2" t="s">
        <v>29</v>
      </c>
      <c r="E26" s="2" t="s">
        <v>30</v>
      </c>
      <c r="F26" s="2" t="s">
        <v>205</v>
      </c>
      <c r="G26" s="2" t="s">
        <v>206</v>
      </c>
      <c r="H26" s="2" t="s">
        <v>207</v>
      </c>
      <c r="I26" s="2" t="s">
        <v>34</v>
      </c>
      <c r="J26" s="2" t="s">
        <v>208</v>
      </c>
      <c r="K26" s="2" t="s">
        <v>209</v>
      </c>
      <c r="L26" s="2" t="s">
        <v>37</v>
      </c>
      <c r="M26" s="5">
        <v>46255</v>
      </c>
      <c r="N26" s="2" t="s">
        <v>210</v>
      </c>
    </row>
    <row r="27" spans="1:14" ht="43.2" x14ac:dyDescent="0.3">
      <c r="A27" s="2"/>
      <c r="B27" s="2" t="s">
        <v>211</v>
      </c>
      <c r="C27" s="2" t="s">
        <v>28</v>
      </c>
      <c r="D27" s="2" t="s">
        <v>29</v>
      </c>
      <c r="E27" s="2" t="s">
        <v>30</v>
      </c>
      <c r="F27" s="2" t="s">
        <v>212</v>
      </c>
      <c r="G27" s="2" t="s">
        <v>32</v>
      </c>
      <c r="H27" s="2" t="s">
        <v>213</v>
      </c>
      <c r="I27" s="2" t="s">
        <v>34</v>
      </c>
      <c r="J27" s="2" t="s">
        <v>214</v>
      </c>
      <c r="K27" s="2" t="s">
        <v>215</v>
      </c>
      <c r="L27" s="2" t="s">
        <v>37</v>
      </c>
      <c r="M27" s="5">
        <v>46255</v>
      </c>
      <c r="N27" s="2" t="s">
        <v>216</v>
      </c>
    </row>
    <row r="28" spans="1:14" ht="43.2" x14ac:dyDescent="0.3">
      <c r="A28" s="2"/>
      <c r="B28" s="2" t="s">
        <v>217</v>
      </c>
      <c r="C28" s="2" t="s">
        <v>28</v>
      </c>
      <c r="D28" s="2" t="s">
        <v>29</v>
      </c>
      <c r="E28" s="2" t="s">
        <v>30</v>
      </c>
      <c r="F28" s="2" t="s">
        <v>218</v>
      </c>
      <c r="G28" s="2" t="s">
        <v>219</v>
      </c>
      <c r="H28" s="2" t="s">
        <v>220</v>
      </c>
      <c r="I28" s="2" t="s">
        <v>34</v>
      </c>
      <c r="J28" s="2" t="s">
        <v>221</v>
      </c>
      <c r="K28" s="2" t="s">
        <v>222</v>
      </c>
      <c r="L28" s="2" t="s">
        <v>37</v>
      </c>
      <c r="M28" s="5">
        <v>46255</v>
      </c>
      <c r="N28" s="2" t="s">
        <v>223</v>
      </c>
    </row>
    <row r="29" spans="1:14" ht="43.2" x14ac:dyDescent="0.3">
      <c r="A29" s="2"/>
      <c r="B29" s="2" t="s">
        <v>224</v>
      </c>
      <c r="C29" s="2" t="s">
        <v>28</v>
      </c>
      <c r="D29" s="2" t="s">
        <v>225</v>
      </c>
      <c r="E29" s="2" t="s">
        <v>30</v>
      </c>
      <c r="F29" s="2" t="s">
        <v>226</v>
      </c>
      <c r="G29" s="2" t="s">
        <v>227</v>
      </c>
      <c r="H29" s="2" t="s">
        <v>228</v>
      </c>
      <c r="I29" s="2" t="s">
        <v>34</v>
      </c>
      <c r="J29" s="2" t="s">
        <v>229</v>
      </c>
      <c r="K29" s="2" t="s">
        <v>222</v>
      </c>
      <c r="L29" s="2" t="s">
        <v>37</v>
      </c>
      <c r="M29" s="5">
        <v>46255</v>
      </c>
      <c r="N29" s="2" t="s">
        <v>230</v>
      </c>
    </row>
    <row r="30" spans="1:14" ht="43.2" x14ac:dyDescent="0.3">
      <c r="A30" s="2"/>
      <c r="B30" s="2" t="s">
        <v>231</v>
      </c>
      <c r="C30" s="2" t="s">
        <v>28</v>
      </c>
      <c r="D30" s="2" t="s">
        <v>29</v>
      </c>
      <c r="E30" s="2" t="s">
        <v>30</v>
      </c>
      <c r="F30" s="2" t="s">
        <v>232</v>
      </c>
      <c r="G30" s="2" t="s">
        <v>233</v>
      </c>
      <c r="H30" s="2" t="s">
        <v>234</v>
      </c>
      <c r="I30" s="2" t="s">
        <v>34</v>
      </c>
      <c r="J30" s="2" t="s">
        <v>235</v>
      </c>
      <c r="K30" s="2" t="s">
        <v>236</v>
      </c>
      <c r="L30" s="2" t="s">
        <v>37</v>
      </c>
      <c r="M30" s="5">
        <v>46255</v>
      </c>
      <c r="N30" s="2" t="s">
        <v>237</v>
      </c>
    </row>
    <row r="31" spans="1:14" ht="43.2" x14ac:dyDescent="0.3">
      <c r="A31" s="2"/>
      <c r="B31" s="2" t="s">
        <v>238</v>
      </c>
      <c r="C31" s="2" t="s">
        <v>239</v>
      </c>
      <c r="D31" s="2" t="s">
        <v>29</v>
      </c>
      <c r="E31" s="2" t="s">
        <v>30</v>
      </c>
      <c r="F31" s="2" t="s">
        <v>218</v>
      </c>
      <c r="G31" s="2" t="s">
        <v>240</v>
      </c>
      <c r="H31" s="2" t="s">
        <v>241</v>
      </c>
      <c r="I31" s="2" t="s">
        <v>34</v>
      </c>
      <c r="J31" s="2" t="s">
        <v>242</v>
      </c>
      <c r="K31" s="2" t="s">
        <v>243</v>
      </c>
      <c r="L31" s="2" t="s">
        <v>37</v>
      </c>
      <c r="M31" s="5">
        <v>46255</v>
      </c>
      <c r="N31" s="2" t="s">
        <v>53</v>
      </c>
    </row>
    <row r="32" spans="1:14" ht="43.2" x14ac:dyDescent="0.3">
      <c r="A32" s="2"/>
      <c r="B32" s="2" t="s">
        <v>27</v>
      </c>
      <c r="C32" s="2" t="s">
        <v>239</v>
      </c>
      <c r="D32" s="2" t="s">
        <v>29</v>
      </c>
      <c r="E32" s="2" t="s">
        <v>30</v>
      </c>
      <c r="F32" s="2" t="s">
        <v>31</v>
      </c>
      <c r="G32" s="2" t="s">
        <v>244</v>
      </c>
      <c r="H32" s="2" t="s">
        <v>33</v>
      </c>
      <c r="I32" s="2" t="s">
        <v>34</v>
      </c>
      <c r="J32" s="2" t="s">
        <v>245</v>
      </c>
      <c r="K32" s="2" t="s">
        <v>36</v>
      </c>
      <c r="L32" s="2" t="s">
        <v>37</v>
      </c>
      <c r="M32" s="5">
        <v>46255</v>
      </c>
      <c r="N32" s="2" t="s">
        <v>246</v>
      </c>
    </row>
    <row r="33" spans="1:14" ht="28.8" x14ac:dyDescent="0.3">
      <c r="A33" s="2"/>
      <c r="B33" s="2" t="s">
        <v>39</v>
      </c>
      <c r="C33" s="2" t="s">
        <v>239</v>
      </c>
      <c r="D33" s="2" t="s">
        <v>29</v>
      </c>
      <c r="E33" s="2" t="s">
        <v>30</v>
      </c>
      <c r="F33" s="2" t="s">
        <v>41</v>
      </c>
      <c r="G33" s="2" t="s">
        <v>247</v>
      </c>
      <c r="H33" s="2" t="s">
        <v>43</v>
      </c>
      <c r="I33" s="2" t="s">
        <v>34</v>
      </c>
      <c r="J33" s="2" t="s">
        <v>248</v>
      </c>
      <c r="K33" s="2" t="s">
        <v>45</v>
      </c>
      <c r="L33" s="2" t="s">
        <v>37</v>
      </c>
      <c r="M33" s="5">
        <v>46255</v>
      </c>
      <c r="N33" s="2" t="s">
        <v>249</v>
      </c>
    </row>
    <row r="34" spans="1:14" ht="43.2" x14ac:dyDescent="0.3">
      <c r="A34" s="2"/>
      <c r="B34" s="2" t="s">
        <v>250</v>
      </c>
      <c r="C34" s="2" t="s">
        <v>239</v>
      </c>
      <c r="D34" s="2" t="s">
        <v>29</v>
      </c>
      <c r="E34" s="2" t="s">
        <v>30</v>
      </c>
      <c r="F34" s="2" t="s">
        <v>251</v>
      </c>
      <c r="G34" s="2" t="s">
        <v>252</v>
      </c>
      <c r="H34" s="2" t="s">
        <v>253</v>
      </c>
      <c r="I34" s="2" t="s">
        <v>34</v>
      </c>
      <c r="J34" s="2" t="s">
        <v>254</v>
      </c>
      <c r="K34" s="2" t="s">
        <v>255</v>
      </c>
      <c r="L34" s="2" t="s">
        <v>37</v>
      </c>
      <c r="M34" s="5">
        <v>46255</v>
      </c>
      <c r="N34" s="2" t="s">
        <v>256</v>
      </c>
    </row>
    <row r="35" spans="1:14" ht="43.2" x14ac:dyDescent="0.3">
      <c r="A35" s="2"/>
      <c r="B35" s="2" t="s">
        <v>257</v>
      </c>
      <c r="C35" s="2" t="s">
        <v>239</v>
      </c>
      <c r="D35" s="2" t="s">
        <v>258</v>
      </c>
      <c r="E35" s="2" t="s">
        <v>30</v>
      </c>
      <c r="F35" s="2" t="s">
        <v>259</v>
      </c>
      <c r="G35" s="2" t="s">
        <v>260</v>
      </c>
      <c r="H35" s="2" t="s">
        <v>261</v>
      </c>
      <c r="I35" s="2" t="s">
        <v>34</v>
      </c>
      <c r="J35" s="2" t="s">
        <v>262</v>
      </c>
      <c r="K35" s="2" t="s">
        <v>263</v>
      </c>
      <c r="L35" s="2" t="s">
        <v>37</v>
      </c>
      <c r="M35" s="5">
        <v>46255</v>
      </c>
      <c r="N35" s="2" t="s">
        <v>264</v>
      </c>
    </row>
    <row r="36" spans="1:14" ht="43.2" x14ac:dyDescent="0.3">
      <c r="A36" s="2"/>
      <c r="B36" s="2" t="s">
        <v>265</v>
      </c>
      <c r="C36" s="2" t="s">
        <v>239</v>
      </c>
      <c r="D36" s="2" t="s">
        <v>29</v>
      </c>
      <c r="E36" s="2" t="s">
        <v>30</v>
      </c>
      <c r="F36" s="2" t="s">
        <v>218</v>
      </c>
      <c r="G36" s="2" t="s">
        <v>266</v>
      </c>
      <c r="H36" s="2" t="s">
        <v>267</v>
      </c>
      <c r="I36" s="2" t="s">
        <v>34</v>
      </c>
      <c r="J36" s="2" t="s">
        <v>268</v>
      </c>
      <c r="K36" s="2" t="s">
        <v>269</v>
      </c>
      <c r="L36" s="2" t="s">
        <v>37</v>
      </c>
      <c r="M36" s="5">
        <v>46255</v>
      </c>
      <c r="N36" s="2" t="s">
        <v>270</v>
      </c>
    </row>
    <row r="37" spans="1:14" ht="43.2" x14ac:dyDescent="0.3">
      <c r="A37" s="2"/>
      <c r="B37" s="2" t="s">
        <v>271</v>
      </c>
      <c r="C37" s="2" t="s">
        <v>239</v>
      </c>
      <c r="D37" s="2" t="s">
        <v>29</v>
      </c>
      <c r="E37" s="2" t="s">
        <v>30</v>
      </c>
      <c r="F37" s="2" t="s">
        <v>272</v>
      </c>
      <c r="G37" s="2" t="s">
        <v>273</v>
      </c>
      <c r="H37" s="2" t="s">
        <v>274</v>
      </c>
      <c r="I37" s="2" t="s">
        <v>34</v>
      </c>
      <c r="J37" s="2" t="s">
        <v>275</v>
      </c>
      <c r="K37" s="2" t="s">
        <v>276</v>
      </c>
      <c r="L37" s="2" t="s">
        <v>37</v>
      </c>
      <c r="M37" s="5">
        <v>46255</v>
      </c>
      <c r="N37" s="2" t="s">
        <v>277</v>
      </c>
    </row>
    <row r="38" spans="1:14" ht="43.2" x14ac:dyDescent="0.3">
      <c r="A38" s="2"/>
      <c r="B38" s="2" t="s">
        <v>278</v>
      </c>
      <c r="C38" s="2" t="s">
        <v>239</v>
      </c>
      <c r="D38" s="2" t="s">
        <v>29</v>
      </c>
      <c r="E38" s="2" t="s">
        <v>30</v>
      </c>
      <c r="F38" s="2" t="s">
        <v>279</v>
      </c>
      <c r="G38" s="2" t="s">
        <v>280</v>
      </c>
      <c r="H38" s="2" t="s">
        <v>281</v>
      </c>
      <c r="I38" s="2" t="s">
        <v>34</v>
      </c>
      <c r="J38" s="2" t="s">
        <v>282</v>
      </c>
      <c r="K38" s="2" t="s">
        <v>283</v>
      </c>
      <c r="L38" s="2" t="s">
        <v>37</v>
      </c>
      <c r="M38" s="5">
        <v>46255</v>
      </c>
      <c r="N38" s="2" t="s">
        <v>284</v>
      </c>
    </row>
    <row r="39" spans="1:14" ht="43.2" x14ac:dyDescent="0.3">
      <c r="A39" s="2"/>
      <c r="B39" s="2" t="s">
        <v>285</v>
      </c>
      <c r="C39" s="2" t="s">
        <v>239</v>
      </c>
      <c r="D39" s="2" t="s">
        <v>29</v>
      </c>
      <c r="E39" s="2" t="s">
        <v>30</v>
      </c>
      <c r="F39" s="2" t="s">
        <v>286</v>
      </c>
      <c r="G39" s="2" t="s">
        <v>287</v>
      </c>
      <c r="H39" s="2" t="s">
        <v>288</v>
      </c>
      <c r="I39" s="2" t="s">
        <v>34</v>
      </c>
      <c r="J39" s="2" t="s">
        <v>289</v>
      </c>
      <c r="K39" s="2" t="s">
        <v>290</v>
      </c>
      <c r="L39" s="2" t="s">
        <v>37</v>
      </c>
      <c r="M39" s="5">
        <v>46255</v>
      </c>
      <c r="N39" s="2" t="s">
        <v>270</v>
      </c>
    </row>
    <row r="40" spans="1:14" ht="43.2" x14ac:dyDescent="0.3">
      <c r="A40" s="2"/>
      <c r="B40" s="2" t="s">
        <v>54</v>
      </c>
      <c r="C40" s="2" t="s">
        <v>239</v>
      </c>
      <c r="D40" s="2" t="s">
        <v>29</v>
      </c>
      <c r="E40" s="2" t="s">
        <v>30</v>
      </c>
      <c r="F40" s="2" t="s">
        <v>55</v>
      </c>
      <c r="G40" s="2" t="s">
        <v>291</v>
      </c>
      <c r="H40" s="2" t="s">
        <v>57</v>
      </c>
      <c r="I40" s="2" t="s">
        <v>34</v>
      </c>
      <c r="J40" s="2" t="s">
        <v>292</v>
      </c>
      <c r="K40" s="2" t="s">
        <v>59</v>
      </c>
      <c r="L40" s="2" t="s">
        <v>37</v>
      </c>
      <c r="M40" s="5">
        <v>46255</v>
      </c>
      <c r="N40" s="2" t="s">
        <v>293</v>
      </c>
    </row>
    <row r="41" spans="1:14" ht="43.2" x14ac:dyDescent="0.3">
      <c r="A41" s="2"/>
      <c r="B41" s="2" t="s">
        <v>294</v>
      </c>
      <c r="C41" s="2" t="s">
        <v>239</v>
      </c>
      <c r="D41" s="2" t="s">
        <v>29</v>
      </c>
      <c r="E41" s="2" t="s">
        <v>30</v>
      </c>
      <c r="F41" s="2" t="s">
        <v>295</v>
      </c>
      <c r="G41" s="2" t="s">
        <v>296</v>
      </c>
      <c r="H41" s="2" t="s">
        <v>297</v>
      </c>
      <c r="I41" s="2" t="s">
        <v>34</v>
      </c>
      <c r="J41" s="2" t="s">
        <v>298</v>
      </c>
      <c r="K41" s="2" t="s">
        <v>299</v>
      </c>
      <c r="L41" s="2" t="s">
        <v>37</v>
      </c>
      <c r="M41" s="5">
        <v>46255</v>
      </c>
      <c r="N41" s="2" t="s">
        <v>300</v>
      </c>
    </row>
    <row r="42" spans="1:14" ht="28.8" x14ac:dyDescent="0.3">
      <c r="A42" s="2"/>
      <c r="B42" s="2" t="s">
        <v>60</v>
      </c>
      <c r="C42" s="2" t="s">
        <v>239</v>
      </c>
      <c r="D42" s="2" t="s">
        <v>29</v>
      </c>
      <c r="E42" s="2" t="s">
        <v>30</v>
      </c>
      <c r="F42" s="2" t="s">
        <v>61</v>
      </c>
      <c r="G42" s="2" t="s">
        <v>301</v>
      </c>
      <c r="H42" s="2" t="s">
        <v>63</v>
      </c>
      <c r="I42" s="2" t="s">
        <v>34</v>
      </c>
      <c r="J42" s="2" t="s">
        <v>302</v>
      </c>
      <c r="K42" s="2" t="s">
        <v>65</v>
      </c>
      <c r="L42" s="2" t="s">
        <v>37</v>
      </c>
      <c r="M42" s="5">
        <v>46255</v>
      </c>
      <c r="N42" s="2" t="s">
        <v>303</v>
      </c>
    </row>
    <row r="43" spans="1:14" ht="43.2" x14ac:dyDescent="0.3">
      <c r="A43" s="2"/>
      <c r="B43" s="2" t="s">
        <v>162</v>
      </c>
      <c r="C43" s="2" t="s">
        <v>239</v>
      </c>
      <c r="D43" s="2" t="s">
        <v>163</v>
      </c>
      <c r="E43" s="2" t="s">
        <v>30</v>
      </c>
      <c r="F43" s="2" t="s">
        <v>164</v>
      </c>
      <c r="G43" s="2" t="s">
        <v>304</v>
      </c>
      <c r="H43" s="2" t="s">
        <v>166</v>
      </c>
      <c r="I43" s="2" t="s">
        <v>34</v>
      </c>
      <c r="J43" s="2" t="s">
        <v>168</v>
      </c>
      <c r="K43" s="2" t="s">
        <v>168</v>
      </c>
      <c r="L43" s="2" t="s">
        <v>37</v>
      </c>
      <c r="M43" s="5">
        <v>46255</v>
      </c>
      <c r="N43" s="2" t="s">
        <v>305</v>
      </c>
    </row>
    <row r="44" spans="1:14" ht="43.2" x14ac:dyDescent="0.3">
      <c r="A44" s="2"/>
      <c r="B44" s="2" t="s">
        <v>75</v>
      </c>
      <c r="C44" s="2" t="s">
        <v>239</v>
      </c>
      <c r="D44" s="2" t="s">
        <v>29</v>
      </c>
      <c r="E44" s="2" t="s">
        <v>30</v>
      </c>
      <c r="F44" s="2" t="s">
        <v>77</v>
      </c>
      <c r="G44" s="2" t="s">
        <v>306</v>
      </c>
      <c r="H44" s="2" t="s">
        <v>79</v>
      </c>
      <c r="I44" s="2" t="s">
        <v>34</v>
      </c>
      <c r="J44" s="2" t="s">
        <v>81</v>
      </c>
      <c r="K44" s="2" t="s">
        <v>81</v>
      </c>
      <c r="L44" s="2" t="s">
        <v>37</v>
      </c>
      <c r="M44" s="5">
        <v>46255</v>
      </c>
      <c r="N44" s="2" t="s">
        <v>307</v>
      </c>
    </row>
    <row r="45" spans="1:14" ht="43.2" x14ac:dyDescent="0.3">
      <c r="A45" s="2"/>
      <c r="B45" s="2" t="s">
        <v>47</v>
      </c>
      <c r="C45" s="2" t="s">
        <v>239</v>
      </c>
      <c r="D45" s="2" t="s">
        <v>29</v>
      </c>
      <c r="E45" s="2" t="s">
        <v>30</v>
      </c>
      <c r="F45" s="2" t="s">
        <v>308</v>
      </c>
      <c r="G45" s="2" t="s">
        <v>309</v>
      </c>
      <c r="H45" s="2" t="s">
        <v>50</v>
      </c>
      <c r="I45" s="2" t="s">
        <v>34</v>
      </c>
      <c r="J45" s="2" t="s">
        <v>51</v>
      </c>
      <c r="K45" s="2" t="s">
        <v>52</v>
      </c>
      <c r="L45" s="2" t="s">
        <v>37</v>
      </c>
      <c r="M45" s="5">
        <v>46255</v>
      </c>
      <c r="N45" s="2" t="s">
        <v>270</v>
      </c>
    </row>
    <row r="46" spans="1:14" ht="43.2" x14ac:dyDescent="0.3">
      <c r="A46" s="2"/>
      <c r="B46" s="2" t="s">
        <v>83</v>
      </c>
      <c r="C46" s="2" t="s">
        <v>239</v>
      </c>
      <c r="D46" s="2" t="s">
        <v>29</v>
      </c>
      <c r="E46" s="2" t="s">
        <v>30</v>
      </c>
      <c r="F46" s="2" t="s">
        <v>84</v>
      </c>
      <c r="G46" s="2" t="s">
        <v>310</v>
      </c>
      <c r="H46" s="2" t="s">
        <v>86</v>
      </c>
      <c r="I46" s="2" t="s">
        <v>34</v>
      </c>
      <c r="J46" s="2" t="s">
        <v>88</v>
      </c>
      <c r="K46" s="2" t="s">
        <v>88</v>
      </c>
      <c r="L46" s="2" t="s">
        <v>37</v>
      </c>
      <c r="M46" s="5">
        <v>46255</v>
      </c>
      <c r="N46" s="2" t="s">
        <v>311</v>
      </c>
    </row>
    <row r="47" spans="1:14" ht="43.2" x14ac:dyDescent="0.3">
      <c r="A47" s="2"/>
      <c r="B47" s="2" t="s">
        <v>211</v>
      </c>
      <c r="C47" s="2" t="s">
        <v>239</v>
      </c>
      <c r="D47" s="2" t="s">
        <v>29</v>
      </c>
      <c r="E47" s="2" t="s">
        <v>30</v>
      </c>
      <c r="F47" s="2" t="s">
        <v>212</v>
      </c>
      <c r="G47" s="2" t="s">
        <v>312</v>
      </c>
      <c r="H47" s="2" t="s">
        <v>213</v>
      </c>
      <c r="I47" s="2" t="s">
        <v>34</v>
      </c>
      <c r="J47" s="2" t="s">
        <v>313</v>
      </c>
      <c r="K47" s="2" t="s">
        <v>215</v>
      </c>
      <c r="L47" s="2" t="s">
        <v>37</v>
      </c>
      <c r="M47" s="5">
        <v>46255</v>
      </c>
      <c r="N47" s="2" t="s">
        <v>314</v>
      </c>
    </row>
    <row r="48" spans="1:14" ht="43.2" x14ac:dyDescent="0.3">
      <c r="A48" s="2"/>
      <c r="B48" s="2" t="s">
        <v>315</v>
      </c>
      <c r="C48" s="2" t="s">
        <v>239</v>
      </c>
      <c r="D48" s="2" t="s">
        <v>29</v>
      </c>
      <c r="E48" s="2" t="s">
        <v>30</v>
      </c>
      <c r="F48" s="2" t="s">
        <v>316</v>
      </c>
      <c r="G48" s="2" t="s">
        <v>317</v>
      </c>
      <c r="H48" s="2" t="s">
        <v>318</v>
      </c>
      <c r="I48" s="2" t="s">
        <v>34</v>
      </c>
      <c r="J48" s="2" t="s">
        <v>319</v>
      </c>
      <c r="K48" s="2" t="s">
        <v>319</v>
      </c>
      <c r="L48" s="2" t="s">
        <v>37</v>
      </c>
      <c r="M48" s="5">
        <v>46255</v>
      </c>
      <c r="N48" s="2" t="s">
        <v>320</v>
      </c>
    </row>
    <row r="49" spans="1:14" ht="43.2" x14ac:dyDescent="0.3">
      <c r="A49" s="2"/>
      <c r="B49" s="2" t="s">
        <v>321</v>
      </c>
      <c r="C49" s="2" t="s">
        <v>239</v>
      </c>
      <c r="D49" s="2" t="s">
        <v>29</v>
      </c>
      <c r="E49" s="2" t="s">
        <v>30</v>
      </c>
      <c r="F49" s="2" t="s">
        <v>322</v>
      </c>
      <c r="G49" s="2" t="s">
        <v>323</v>
      </c>
      <c r="H49" s="2" t="s">
        <v>324</v>
      </c>
      <c r="I49" s="2" t="s">
        <v>34</v>
      </c>
      <c r="J49" s="2" t="s">
        <v>325</v>
      </c>
      <c r="K49" s="2" t="s">
        <v>326</v>
      </c>
      <c r="L49" s="2" t="s">
        <v>37</v>
      </c>
      <c r="M49" s="5">
        <v>46255</v>
      </c>
      <c r="N49" s="2" t="s">
        <v>270</v>
      </c>
    </row>
    <row r="50" spans="1:14" ht="43.2" x14ac:dyDescent="0.3">
      <c r="A50" s="2"/>
      <c r="B50" s="2" t="s">
        <v>327</v>
      </c>
      <c r="C50" s="2" t="s">
        <v>239</v>
      </c>
      <c r="D50" s="2" t="s">
        <v>29</v>
      </c>
      <c r="E50" s="2" t="s">
        <v>30</v>
      </c>
      <c r="F50" s="2" t="s">
        <v>328</v>
      </c>
      <c r="G50" s="2" t="s">
        <v>329</v>
      </c>
      <c r="H50" s="2" t="s">
        <v>330</v>
      </c>
      <c r="I50" s="2" t="s">
        <v>34</v>
      </c>
      <c r="J50" s="2" t="s">
        <v>331</v>
      </c>
      <c r="K50" s="2" t="s">
        <v>331</v>
      </c>
      <c r="L50" s="2" t="s">
        <v>37</v>
      </c>
      <c r="M50" s="5">
        <v>46255</v>
      </c>
      <c r="N50" s="2" t="s">
        <v>332</v>
      </c>
    </row>
    <row r="51" spans="1:14" ht="57.6" x14ac:dyDescent="0.3">
      <c r="A51" s="2"/>
      <c r="B51" s="2" t="s">
        <v>333</v>
      </c>
      <c r="C51" s="2" t="s">
        <v>334</v>
      </c>
      <c r="D51" s="2" t="s">
        <v>335</v>
      </c>
      <c r="E51" s="2" t="s">
        <v>30</v>
      </c>
      <c r="F51" s="2" t="s">
        <v>336</v>
      </c>
      <c r="G51" s="2" t="s">
        <v>337</v>
      </c>
      <c r="H51" s="2" t="s">
        <v>338</v>
      </c>
      <c r="I51" s="2" t="s">
        <v>339</v>
      </c>
      <c r="J51" s="2" t="s">
        <v>340</v>
      </c>
      <c r="K51" s="2" t="s">
        <v>341</v>
      </c>
      <c r="L51" s="2" t="s">
        <v>37</v>
      </c>
      <c r="M51" s="5">
        <v>46255</v>
      </c>
      <c r="N51" s="2" t="s">
        <v>342</v>
      </c>
    </row>
    <row r="52" spans="1:14" ht="57.6" x14ac:dyDescent="0.3">
      <c r="A52" s="2"/>
      <c r="B52" s="2" t="s">
        <v>333</v>
      </c>
      <c r="C52" s="2" t="s">
        <v>334</v>
      </c>
      <c r="D52" s="2" t="s">
        <v>335</v>
      </c>
      <c r="E52" s="2" t="s">
        <v>30</v>
      </c>
      <c r="F52" s="2" t="s">
        <v>336</v>
      </c>
      <c r="G52" s="2" t="s">
        <v>337</v>
      </c>
      <c r="H52" s="2" t="s">
        <v>343</v>
      </c>
      <c r="I52" s="2" t="s">
        <v>339</v>
      </c>
      <c r="J52" s="2" t="s">
        <v>344</v>
      </c>
      <c r="K52" s="2" t="s">
        <v>341</v>
      </c>
      <c r="L52" s="2" t="s">
        <v>37</v>
      </c>
      <c r="M52" s="5">
        <v>46255</v>
      </c>
      <c r="N52" s="2" t="s">
        <v>345</v>
      </c>
    </row>
    <row r="53" spans="1:14" ht="57.6" x14ac:dyDescent="0.3">
      <c r="A53" s="2"/>
      <c r="B53" s="2" t="s">
        <v>333</v>
      </c>
      <c r="C53" s="2" t="s">
        <v>334</v>
      </c>
      <c r="D53" s="2" t="s">
        <v>335</v>
      </c>
      <c r="E53" s="2" t="s">
        <v>30</v>
      </c>
      <c r="F53" s="2" t="s">
        <v>336</v>
      </c>
      <c r="G53" s="2" t="s">
        <v>337</v>
      </c>
      <c r="H53" s="2" t="s">
        <v>346</v>
      </c>
      <c r="I53" s="2" t="s">
        <v>339</v>
      </c>
      <c r="J53" s="2" t="s">
        <v>347</v>
      </c>
      <c r="K53" s="2" t="s">
        <v>341</v>
      </c>
      <c r="L53" s="2" t="s">
        <v>37</v>
      </c>
      <c r="M53" s="5">
        <v>46255</v>
      </c>
      <c r="N53" s="2" t="s">
        <v>348</v>
      </c>
    </row>
    <row r="54" spans="1:14" ht="57.6" x14ac:dyDescent="0.3">
      <c r="A54" s="2"/>
      <c r="B54" s="2" t="s">
        <v>333</v>
      </c>
      <c r="C54" s="2" t="s">
        <v>334</v>
      </c>
      <c r="D54" s="2" t="s">
        <v>335</v>
      </c>
      <c r="E54" s="2" t="s">
        <v>30</v>
      </c>
      <c r="F54" s="2" t="s">
        <v>336</v>
      </c>
      <c r="G54" s="2" t="s">
        <v>337</v>
      </c>
      <c r="H54" s="2" t="s">
        <v>349</v>
      </c>
      <c r="I54" s="2" t="s">
        <v>339</v>
      </c>
      <c r="J54" s="2" t="s">
        <v>350</v>
      </c>
      <c r="K54" s="2" t="s">
        <v>341</v>
      </c>
      <c r="L54" s="2" t="s">
        <v>37</v>
      </c>
      <c r="M54" s="5">
        <v>46255</v>
      </c>
      <c r="N54" s="2" t="s">
        <v>351</v>
      </c>
    </row>
    <row r="55" spans="1:14" ht="57.6" x14ac:dyDescent="0.3">
      <c r="A55" s="2"/>
      <c r="B55" s="2" t="s">
        <v>333</v>
      </c>
      <c r="C55" s="2" t="s">
        <v>334</v>
      </c>
      <c r="D55" s="2" t="s">
        <v>335</v>
      </c>
      <c r="E55" s="2" t="s">
        <v>30</v>
      </c>
      <c r="F55" s="2" t="s">
        <v>336</v>
      </c>
      <c r="G55" s="2" t="s">
        <v>337</v>
      </c>
      <c r="H55" s="2" t="s">
        <v>352</v>
      </c>
      <c r="I55" s="2" t="s">
        <v>339</v>
      </c>
      <c r="J55" s="2" t="s">
        <v>353</v>
      </c>
      <c r="K55" s="2" t="s">
        <v>341</v>
      </c>
      <c r="L55" s="2" t="s">
        <v>37</v>
      </c>
      <c r="M55" s="5">
        <v>46255</v>
      </c>
      <c r="N55" s="2" t="s">
        <v>354</v>
      </c>
    </row>
    <row r="56" spans="1:14" ht="57.6" x14ac:dyDescent="0.3">
      <c r="A56" s="2"/>
      <c r="B56" s="2" t="s">
        <v>333</v>
      </c>
      <c r="C56" s="2" t="s">
        <v>334</v>
      </c>
      <c r="D56" s="2" t="s">
        <v>335</v>
      </c>
      <c r="E56" s="2" t="s">
        <v>30</v>
      </c>
      <c r="F56" s="2" t="s">
        <v>336</v>
      </c>
      <c r="G56" s="2" t="s">
        <v>337</v>
      </c>
      <c r="H56" s="2" t="s">
        <v>355</v>
      </c>
      <c r="I56" s="2" t="s">
        <v>339</v>
      </c>
      <c r="J56" s="2" t="s">
        <v>356</v>
      </c>
      <c r="K56" s="2" t="s">
        <v>341</v>
      </c>
      <c r="L56" s="2" t="s">
        <v>37</v>
      </c>
      <c r="M56" s="5">
        <v>46255</v>
      </c>
      <c r="N56" s="2" t="s">
        <v>357</v>
      </c>
    </row>
    <row r="57" spans="1:14" ht="57.6" x14ac:dyDescent="0.3">
      <c r="A57" s="2"/>
      <c r="B57" s="2" t="s">
        <v>333</v>
      </c>
      <c r="C57" s="2" t="s">
        <v>334</v>
      </c>
      <c r="D57" s="2" t="s">
        <v>335</v>
      </c>
      <c r="E57" s="2" t="s">
        <v>30</v>
      </c>
      <c r="F57" s="2" t="s">
        <v>336</v>
      </c>
      <c r="G57" s="2" t="s">
        <v>337</v>
      </c>
      <c r="H57" s="2" t="s">
        <v>358</v>
      </c>
      <c r="I57" s="2" t="s">
        <v>339</v>
      </c>
      <c r="J57" s="2" t="s">
        <v>359</v>
      </c>
      <c r="K57" s="2" t="s">
        <v>341</v>
      </c>
      <c r="L57" s="2" t="s">
        <v>37</v>
      </c>
      <c r="M57" s="5">
        <v>46255</v>
      </c>
      <c r="N57" s="2" t="s">
        <v>360</v>
      </c>
    </row>
    <row r="58" spans="1:14" ht="57.6" x14ac:dyDescent="0.3">
      <c r="A58" s="2"/>
      <c r="B58" s="2" t="s">
        <v>333</v>
      </c>
      <c r="C58" s="2" t="s">
        <v>334</v>
      </c>
      <c r="D58" s="2" t="s">
        <v>335</v>
      </c>
      <c r="E58" s="2" t="s">
        <v>30</v>
      </c>
      <c r="F58" s="2" t="s">
        <v>336</v>
      </c>
      <c r="G58" s="2" t="s">
        <v>337</v>
      </c>
      <c r="H58" s="2" t="s">
        <v>361</v>
      </c>
      <c r="I58" s="2" t="s">
        <v>339</v>
      </c>
      <c r="J58" s="2" t="s">
        <v>362</v>
      </c>
      <c r="K58" s="2" t="s">
        <v>341</v>
      </c>
      <c r="L58" s="2" t="s">
        <v>37</v>
      </c>
      <c r="M58" s="5">
        <v>46255</v>
      </c>
      <c r="N58" s="2" t="s">
        <v>363</v>
      </c>
    </row>
    <row r="59" spans="1:14" ht="57.6" x14ac:dyDescent="0.3">
      <c r="A59" s="2"/>
      <c r="B59" s="2" t="s">
        <v>333</v>
      </c>
      <c r="C59" s="2" t="s">
        <v>334</v>
      </c>
      <c r="D59" s="2" t="s">
        <v>335</v>
      </c>
      <c r="E59" s="2" t="s">
        <v>30</v>
      </c>
      <c r="F59" s="2" t="s">
        <v>336</v>
      </c>
      <c r="G59" s="2" t="s">
        <v>337</v>
      </c>
      <c r="H59" s="2" t="s">
        <v>364</v>
      </c>
      <c r="I59" s="2" t="s">
        <v>339</v>
      </c>
      <c r="J59" s="2" t="s">
        <v>365</v>
      </c>
      <c r="K59" s="2" t="s">
        <v>341</v>
      </c>
      <c r="L59" s="2" t="s">
        <v>37</v>
      </c>
      <c r="M59" s="5">
        <v>46255</v>
      </c>
      <c r="N59" s="2" t="s">
        <v>366</v>
      </c>
    </row>
    <row r="60" spans="1:14" ht="57.6" x14ac:dyDescent="0.3">
      <c r="A60" s="2"/>
      <c r="B60" s="2" t="s">
        <v>367</v>
      </c>
      <c r="C60" s="2" t="s">
        <v>368</v>
      </c>
      <c r="D60" s="2" t="s">
        <v>369</v>
      </c>
      <c r="E60" s="2" t="s">
        <v>30</v>
      </c>
      <c r="F60" s="2" t="s">
        <v>336</v>
      </c>
      <c r="G60" s="2" t="s">
        <v>370</v>
      </c>
      <c r="H60" s="2" t="s">
        <v>371</v>
      </c>
      <c r="I60" s="2" t="s">
        <v>339</v>
      </c>
      <c r="J60" s="2" t="s">
        <v>372</v>
      </c>
      <c r="K60" s="2" t="s">
        <v>373</v>
      </c>
      <c r="L60" s="2" t="s">
        <v>37</v>
      </c>
      <c r="M60" s="5">
        <v>46255</v>
      </c>
      <c r="N60" s="2" t="s">
        <v>374</v>
      </c>
    </row>
    <row r="61" spans="1:14" ht="43.2" x14ac:dyDescent="0.3">
      <c r="A61" s="2"/>
      <c r="B61" s="2" t="s">
        <v>375</v>
      </c>
      <c r="C61" s="2" t="s">
        <v>368</v>
      </c>
      <c r="D61" s="2" t="s">
        <v>376</v>
      </c>
      <c r="E61" s="2" t="s">
        <v>30</v>
      </c>
      <c r="F61" s="2" t="s">
        <v>336</v>
      </c>
      <c r="G61" s="2" t="s">
        <v>377</v>
      </c>
      <c r="H61" s="2" t="s">
        <v>378</v>
      </c>
      <c r="I61" s="2" t="s">
        <v>379</v>
      </c>
      <c r="J61" s="2" t="s">
        <v>380</v>
      </c>
      <c r="K61" s="2" t="s">
        <v>381</v>
      </c>
      <c r="L61" s="2" t="s">
        <v>37</v>
      </c>
      <c r="M61" s="5">
        <v>46255</v>
      </c>
      <c r="N61" s="2" t="s">
        <v>382</v>
      </c>
    </row>
    <row r="62" spans="1:14" ht="43.2" x14ac:dyDescent="0.3">
      <c r="A62" s="2"/>
      <c r="B62" s="2" t="s">
        <v>375</v>
      </c>
      <c r="C62" s="2" t="s">
        <v>368</v>
      </c>
      <c r="D62" s="2" t="s">
        <v>376</v>
      </c>
      <c r="E62" s="2" t="s">
        <v>30</v>
      </c>
      <c r="F62" s="2" t="s">
        <v>336</v>
      </c>
      <c r="G62" s="2" t="s">
        <v>377</v>
      </c>
      <c r="H62" s="2" t="s">
        <v>383</v>
      </c>
      <c r="I62" s="2" t="s">
        <v>379</v>
      </c>
      <c r="J62" s="2" t="s">
        <v>380</v>
      </c>
      <c r="K62" s="2" t="s">
        <v>381</v>
      </c>
      <c r="L62" s="2" t="s">
        <v>37</v>
      </c>
      <c r="M62" s="5">
        <v>46255</v>
      </c>
      <c r="N62" s="2" t="s">
        <v>382</v>
      </c>
    </row>
    <row r="63" spans="1:14" ht="43.2" x14ac:dyDescent="0.3">
      <c r="A63" s="2"/>
      <c r="B63" s="2" t="s">
        <v>375</v>
      </c>
      <c r="C63" s="2" t="s">
        <v>368</v>
      </c>
      <c r="D63" s="2" t="s">
        <v>376</v>
      </c>
      <c r="E63" s="2" t="s">
        <v>30</v>
      </c>
      <c r="F63" s="2" t="s">
        <v>336</v>
      </c>
      <c r="G63" s="2" t="s">
        <v>377</v>
      </c>
      <c r="H63" s="2" t="s">
        <v>384</v>
      </c>
      <c r="I63" s="2" t="s">
        <v>379</v>
      </c>
      <c r="J63" s="2" t="s">
        <v>380</v>
      </c>
      <c r="K63" s="2" t="s">
        <v>381</v>
      </c>
      <c r="L63" s="2" t="s">
        <v>37</v>
      </c>
      <c r="M63" s="5">
        <v>46255</v>
      </c>
      <c r="N63" s="2" t="s">
        <v>382</v>
      </c>
    </row>
    <row r="64" spans="1:14" ht="43.2" x14ac:dyDescent="0.3">
      <c r="A64" s="2"/>
      <c r="B64" s="2" t="s">
        <v>375</v>
      </c>
      <c r="C64" s="2" t="s">
        <v>368</v>
      </c>
      <c r="D64" s="2" t="s">
        <v>376</v>
      </c>
      <c r="E64" s="2" t="s">
        <v>30</v>
      </c>
      <c r="F64" s="2" t="s">
        <v>336</v>
      </c>
      <c r="G64" s="2" t="s">
        <v>377</v>
      </c>
      <c r="H64" s="2" t="s">
        <v>385</v>
      </c>
      <c r="I64" s="2" t="s">
        <v>379</v>
      </c>
      <c r="J64" s="2" t="s">
        <v>380</v>
      </c>
      <c r="K64" s="2" t="s">
        <v>381</v>
      </c>
      <c r="L64" s="2" t="s">
        <v>37</v>
      </c>
      <c r="M64" s="5">
        <v>46255</v>
      </c>
      <c r="N64" s="2" t="s">
        <v>382</v>
      </c>
    </row>
    <row r="65" spans="1:14" ht="43.2" x14ac:dyDescent="0.3">
      <c r="A65" s="2"/>
      <c r="B65" s="2" t="s">
        <v>375</v>
      </c>
      <c r="C65" s="2" t="s">
        <v>368</v>
      </c>
      <c r="D65" s="2" t="s">
        <v>376</v>
      </c>
      <c r="E65" s="2" t="s">
        <v>30</v>
      </c>
      <c r="F65" s="2" t="s">
        <v>336</v>
      </c>
      <c r="G65" s="2" t="s">
        <v>377</v>
      </c>
      <c r="H65" s="2" t="s">
        <v>386</v>
      </c>
      <c r="I65" s="2" t="s">
        <v>379</v>
      </c>
      <c r="J65" s="2" t="s">
        <v>380</v>
      </c>
      <c r="K65" s="2" t="s">
        <v>381</v>
      </c>
      <c r="L65" s="2" t="s">
        <v>37</v>
      </c>
      <c r="M65" s="5">
        <v>46255</v>
      </c>
      <c r="N65" s="2" t="s">
        <v>382</v>
      </c>
    </row>
    <row r="66" spans="1:14" ht="43.2" x14ac:dyDescent="0.3">
      <c r="A66" s="2"/>
      <c r="B66" s="2" t="s">
        <v>375</v>
      </c>
      <c r="C66" s="2" t="s">
        <v>368</v>
      </c>
      <c r="D66" s="2" t="s">
        <v>376</v>
      </c>
      <c r="E66" s="2" t="s">
        <v>30</v>
      </c>
      <c r="F66" s="2" t="s">
        <v>336</v>
      </c>
      <c r="G66" s="2" t="s">
        <v>377</v>
      </c>
      <c r="H66" s="2" t="s">
        <v>387</v>
      </c>
      <c r="I66" s="2" t="s">
        <v>379</v>
      </c>
      <c r="J66" s="2" t="s">
        <v>380</v>
      </c>
      <c r="K66" s="2" t="s">
        <v>381</v>
      </c>
      <c r="L66" s="2" t="s">
        <v>37</v>
      </c>
      <c r="M66" s="5">
        <v>46255</v>
      </c>
      <c r="N66" s="2" t="s">
        <v>382</v>
      </c>
    </row>
    <row r="67" spans="1:14" ht="43.2" x14ac:dyDescent="0.3">
      <c r="A67" s="2"/>
      <c r="B67" s="2" t="s">
        <v>375</v>
      </c>
      <c r="C67" s="2" t="s">
        <v>368</v>
      </c>
      <c r="D67" s="2" t="s">
        <v>376</v>
      </c>
      <c r="E67" s="2" t="s">
        <v>30</v>
      </c>
      <c r="F67" s="2" t="s">
        <v>336</v>
      </c>
      <c r="G67" s="2" t="s">
        <v>377</v>
      </c>
      <c r="H67" s="2" t="s">
        <v>388</v>
      </c>
      <c r="I67" s="2" t="s">
        <v>379</v>
      </c>
      <c r="J67" s="2" t="s">
        <v>380</v>
      </c>
      <c r="K67" s="2" t="s">
        <v>381</v>
      </c>
      <c r="L67" s="2" t="s">
        <v>37</v>
      </c>
      <c r="M67" s="5">
        <v>46255</v>
      </c>
      <c r="N67" s="2" t="s">
        <v>382</v>
      </c>
    </row>
    <row r="68" spans="1:14" ht="43.2" x14ac:dyDescent="0.3">
      <c r="A68" s="2"/>
      <c r="B68" s="2" t="s">
        <v>375</v>
      </c>
      <c r="C68" s="2" t="s">
        <v>368</v>
      </c>
      <c r="D68" s="2" t="s">
        <v>376</v>
      </c>
      <c r="E68" s="2" t="s">
        <v>30</v>
      </c>
      <c r="F68" s="2" t="s">
        <v>336</v>
      </c>
      <c r="G68" s="2" t="s">
        <v>377</v>
      </c>
      <c r="H68" s="2" t="s">
        <v>389</v>
      </c>
      <c r="I68" s="2" t="s">
        <v>379</v>
      </c>
      <c r="J68" s="2" t="s">
        <v>380</v>
      </c>
      <c r="K68" s="2" t="s">
        <v>381</v>
      </c>
      <c r="L68" s="2" t="s">
        <v>37</v>
      </c>
      <c r="M68" s="5">
        <v>46255</v>
      </c>
      <c r="N68" s="2" t="s">
        <v>382</v>
      </c>
    </row>
    <row r="69" spans="1:14" ht="43.2" x14ac:dyDescent="0.3">
      <c r="A69" s="2"/>
      <c r="B69" s="2" t="s">
        <v>375</v>
      </c>
      <c r="C69" s="2" t="s">
        <v>368</v>
      </c>
      <c r="D69" s="2" t="s">
        <v>376</v>
      </c>
      <c r="E69" s="2" t="s">
        <v>30</v>
      </c>
      <c r="F69" s="2" t="s">
        <v>336</v>
      </c>
      <c r="G69" s="2" t="s">
        <v>377</v>
      </c>
      <c r="H69" s="2" t="s">
        <v>390</v>
      </c>
      <c r="I69" s="2" t="s">
        <v>379</v>
      </c>
      <c r="J69" s="2" t="s">
        <v>380</v>
      </c>
      <c r="K69" s="2" t="s">
        <v>381</v>
      </c>
      <c r="L69" s="2" t="s">
        <v>37</v>
      </c>
      <c r="M69" s="5">
        <v>46255</v>
      </c>
      <c r="N69" s="2" t="s">
        <v>382</v>
      </c>
    </row>
    <row r="70" spans="1:14" ht="43.2" x14ac:dyDescent="0.3">
      <c r="A70" s="2"/>
      <c r="B70" s="2" t="s">
        <v>375</v>
      </c>
      <c r="C70" s="2" t="s">
        <v>368</v>
      </c>
      <c r="D70" s="2" t="s">
        <v>376</v>
      </c>
      <c r="E70" s="2" t="s">
        <v>30</v>
      </c>
      <c r="F70" s="2" t="s">
        <v>336</v>
      </c>
      <c r="G70" s="2" t="s">
        <v>377</v>
      </c>
      <c r="H70" s="2" t="s">
        <v>391</v>
      </c>
      <c r="I70" s="2" t="s">
        <v>379</v>
      </c>
      <c r="J70" s="2" t="s">
        <v>380</v>
      </c>
      <c r="K70" s="2" t="s">
        <v>381</v>
      </c>
      <c r="L70" s="2" t="s">
        <v>37</v>
      </c>
      <c r="M70" s="5">
        <v>46255</v>
      </c>
      <c r="N70" s="2" t="s">
        <v>382</v>
      </c>
    </row>
    <row r="71" spans="1:14" ht="43.2" x14ac:dyDescent="0.3">
      <c r="A71" s="2"/>
      <c r="B71" s="2" t="s">
        <v>375</v>
      </c>
      <c r="C71" s="2" t="s">
        <v>368</v>
      </c>
      <c r="D71" s="2" t="s">
        <v>376</v>
      </c>
      <c r="E71" s="2" t="s">
        <v>30</v>
      </c>
      <c r="F71" s="2" t="s">
        <v>336</v>
      </c>
      <c r="G71" s="2" t="s">
        <v>377</v>
      </c>
      <c r="H71" s="2" t="s">
        <v>392</v>
      </c>
      <c r="I71" s="2" t="s">
        <v>379</v>
      </c>
      <c r="J71" s="2" t="s">
        <v>380</v>
      </c>
      <c r="K71" s="2" t="s">
        <v>381</v>
      </c>
      <c r="L71" s="2" t="s">
        <v>37</v>
      </c>
      <c r="M71" s="5">
        <v>46255</v>
      </c>
      <c r="N71" s="2" t="s">
        <v>382</v>
      </c>
    </row>
    <row r="72" spans="1:14" ht="43.2" x14ac:dyDescent="0.3">
      <c r="A72" s="2"/>
      <c r="B72" s="2" t="s">
        <v>375</v>
      </c>
      <c r="C72" s="2" t="s">
        <v>368</v>
      </c>
      <c r="D72" s="2" t="s">
        <v>376</v>
      </c>
      <c r="E72" s="2" t="s">
        <v>30</v>
      </c>
      <c r="F72" s="2" t="s">
        <v>336</v>
      </c>
      <c r="G72" s="2" t="s">
        <v>377</v>
      </c>
      <c r="H72" s="2" t="s">
        <v>393</v>
      </c>
      <c r="I72" s="2" t="s">
        <v>379</v>
      </c>
      <c r="J72" s="2" t="s">
        <v>380</v>
      </c>
      <c r="K72" s="2" t="s">
        <v>381</v>
      </c>
      <c r="L72" s="2" t="s">
        <v>37</v>
      </c>
      <c r="M72" s="5">
        <v>46255</v>
      </c>
      <c r="N72" s="2" t="s">
        <v>382</v>
      </c>
    </row>
    <row r="73" spans="1:14" ht="43.2" x14ac:dyDescent="0.3">
      <c r="A73" s="2"/>
      <c r="B73" s="2" t="s">
        <v>375</v>
      </c>
      <c r="C73" s="2" t="s">
        <v>368</v>
      </c>
      <c r="D73" s="2" t="s">
        <v>376</v>
      </c>
      <c r="E73" s="2" t="s">
        <v>30</v>
      </c>
      <c r="F73" s="2" t="s">
        <v>336</v>
      </c>
      <c r="G73" s="2" t="s">
        <v>377</v>
      </c>
      <c r="H73" s="2" t="s">
        <v>394</v>
      </c>
      <c r="I73" s="2" t="s">
        <v>379</v>
      </c>
      <c r="J73" s="2" t="s">
        <v>380</v>
      </c>
      <c r="K73" s="2" t="s">
        <v>381</v>
      </c>
      <c r="L73" s="2" t="s">
        <v>37</v>
      </c>
      <c r="M73" s="5">
        <v>46255</v>
      </c>
      <c r="N73" s="2" t="s">
        <v>382</v>
      </c>
    </row>
    <row r="74" spans="1:14" ht="43.2" x14ac:dyDescent="0.3">
      <c r="A74" s="2"/>
      <c r="B74" s="2" t="s">
        <v>375</v>
      </c>
      <c r="C74" s="2" t="s">
        <v>368</v>
      </c>
      <c r="D74" s="2" t="s">
        <v>376</v>
      </c>
      <c r="E74" s="2" t="s">
        <v>30</v>
      </c>
      <c r="F74" s="2" t="s">
        <v>336</v>
      </c>
      <c r="G74" s="2" t="s">
        <v>377</v>
      </c>
      <c r="H74" s="2" t="s">
        <v>395</v>
      </c>
      <c r="I74" s="2" t="s">
        <v>379</v>
      </c>
      <c r="J74" s="2" t="s">
        <v>380</v>
      </c>
      <c r="K74" s="2" t="s">
        <v>381</v>
      </c>
      <c r="L74" s="2" t="s">
        <v>37</v>
      </c>
      <c r="M74" s="5">
        <v>46255</v>
      </c>
      <c r="N74" s="2" t="s">
        <v>382</v>
      </c>
    </row>
    <row r="75" spans="1:14" ht="43.2" x14ac:dyDescent="0.3">
      <c r="A75" s="2"/>
      <c r="B75" s="2" t="s">
        <v>375</v>
      </c>
      <c r="C75" s="2" t="s">
        <v>368</v>
      </c>
      <c r="D75" s="2" t="s">
        <v>376</v>
      </c>
      <c r="E75" s="2" t="s">
        <v>30</v>
      </c>
      <c r="F75" s="2" t="s">
        <v>336</v>
      </c>
      <c r="G75" s="2" t="s">
        <v>377</v>
      </c>
      <c r="H75" s="2" t="s">
        <v>396</v>
      </c>
      <c r="I75" s="2" t="s">
        <v>379</v>
      </c>
      <c r="J75" s="2" t="s">
        <v>380</v>
      </c>
      <c r="K75" s="2" t="s">
        <v>381</v>
      </c>
      <c r="L75" s="2" t="s">
        <v>37</v>
      </c>
      <c r="M75" s="5">
        <v>46255</v>
      </c>
      <c r="N75" s="2" t="s">
        <v>382</v>
      </c>
    </row>
    <row r="76" spans="1:14" ht="43.2" x14ac:dyDescent="0.3">
      <c r="A76" s="2"/>
      <c r="B76" s="2" t="s">
        <v>375</v>
      </c>
      <c r="C76" s="2" t="s">
        <v>368</v>
      </c>
      <c r="D76" s="2" t="s">
        <v>376</v>
      </c>
      <c r="E76" s="2" t="s">
        <v>30</v>
      </c>
      <c r="F76" s="2" t="s">
        <v>336</v>
      </c>
      <c r="G76" s="2" t="s">
        <v>377</v>
      </c>
      <c r="H76" s="2" t="s">
        <v>397</v>
      </c>
      <c r="I76" s="2" t="s">
        <v>379</v>
      </c>
      <c r="J76" s="2" t="s">
        <v>380</v>
      </c>
      <c r="K76" s="2" t="s">
        <v>381</v>
      </c>
      <c r="L76" s="2" t="s">
        <v>37</v>
      </c>
      <c r="M76" s="5">
        <v>46255</v>
      </c>
      <c r="N76" s="2" t="s">
        <v>382</v>
      </c>
    </row>
    <row r="77" spans="1:14" ht="43.2" x14ac:dyDescent="0.3">
      <c r="A77" s="2"/>
      <c r="B77" s="2" t="s">
        <v>375</v>
      </c>
      <c r="C77" s="2" t="s">
        <v>368</v>
      </c>
      <c r="D77" s="2" t="s">
        <v>376</v>
      </c>
      <c r="E77" s="2" t="s">
        <v>30</v>
      </c>
      <c r="F77" s="2" t="s">
        <v>336</v>
      </c>
      <c r="G77" s="2" t="s">
        <v>377</v>
      </c>
      <c r="H77" s="2" t="s">
        <v>398</v>
      </c>
      <c r="I77" s="2" t="s">
        <v>379</v>
      </c>
      <c r="J77" s="2" t="s">
        <v>380</v>
      </c>
      <c r="K77" s="2" t="s">
        <v>381</v>
      </c>
      <c r="L77" s="2" t="s">
        <v>37</v>
      </c>
      <c r="M77" s="5">
        <v>46255</v>
      </c>
      <c r="N77" s="2" t="s">
        <v>382</v>
      </c>
    </row>
    <row r="78" spans="1:14" ht="43.2" x14ac:dyDescent="0.3">
      <c r="A78" s="2"/>
      <c r="B78" s="2" t="s">
        <v>375</v>
      </c>
      <c r="C78" s="2" t="s">
        <v>368</v>
      </c>
      <c r="D78" s="2" t="s">
        <v>376</v>
      </c>
      <c r="E78" s="2" t="s">
        <v>30</v>
      </c>
      <c r="F78" s="2" t="s">
        <v>336</v>
      </c>
      <c r="G78" s="2" t="s">
        <v>377</v>
      </c>
      <c r="H78" s="2" t="s">
        <v>399</v>
      </c>
      <c r="I78" s="2" t="s">
        <v>379</v>
      </c>
      <c r="J78" s="2" t="s">
        <v>380</v>
      </c>
      <c r="K78" s="2" t="s">
        <v>381</v>
      </c>
      <c r="L78" s="2" t="s">
        <v>37</v>
      </c>
      <c r="M78" s="5">
        <v>46255</v>
      </c>
      <c r="N78" s="2" t="s">
        <v>382</v>
      </c>
    </row>
    <row r="79" spans="1:14" ht="43.2" x14ac:dyDescent="0.3">
      <c r="A79" s="2"/>
      <c r="B79" s="2" t="s">
        <v>375</v>
      </c>
      <c r="C79" s="2" t="s">
        <v>368</v>
      </c>
      <c r="D79" s="2" t="s">
        <v>376</v>
      </c>
      <c r="E79" s="2" t="s">
        <v>30</v>
      </c>
      <c r="F79" s="2" t="s">
        <v>336</v>
      </c>
      <c r="G79" s="2" t="s">
        <v>377</v>
      </c>
      <c r="H79" s="2" t="s">
        <v>400</v>
      </c>
      <c r="I79" s="2" t="s">
        <v>379</v>
      </c>
      <c r="J79" s="2" t="s">
        <v>380</v>
      </c>
      <c r="K79" s="2" t="s">
        <v>381</v>
      </c>
      <c r="L79" s="2" t="s">
        <v>37</v>
      </c>
      <c r="M79" s="5">
        <v>46255</v>
      </c>
      <c r="N79" s="2" t="s">
        <v>382</v>
      </c>
    </row>
    <row r="80" spans="1:14" ht="43.2" x14ac:dyDescent="0.3">
      <c r="A80" s="2"/>
      <c r="B80" s="2" t="s">
        <v>375</v>
      </c>
      <c r="C80" s="2" t="s">
        <v>368</v>
      </c>
      <c r="D80" s="2" t="s">
        <v>376</v>
      </c>
      <c r="E80" s="2" t="s">
        <v>30</v>
      </c>
      <c r="F80" s="2" t="s">
        <v>336</v>
      </c>
      <c r="G80" s="2" t="s">
        <v>377</v>
      </c>
      <c r="H80" s="2" t="s">
        <v>401</v>
      </c>
      <c r="I80" s="2" t="s">
        <v>379</v>
      </c>
      <c r="J80" s="2" t="s">
        <v>380</v>
      </c>
      <c r="K80" s="2" t="s">
        <v>381</v>
      </c>
      <c r="L80" s="2" t="s">
        <v>37</v>
      </c>
      <c r="M80" s="5">
        <v>46255</v>
      </c>
      <c r="N80" s="2" t="s">
        <v>382</v>
      </c>
    </row>
    <row r="81" spans="1:14" ht="43.2" x14ac:dyDescent="0.3">
      <c r="A81" s="2"/>
      <c r="B81" s="2" t="s">
        <v>375</v>
      </c>
      <c r="C81" s="2" t="s">
        <v>368</v>
      </c>
      <c r="D81" s="2" t="s">
        <v>376</v>
      </c>
      <c r="E81" s="2" t="s">
        <v>30</v>
      </c>
      <c r="F81" s="2" t="s">
        <v>336</v>
      </c>
      <c r="G81" s="2" t="s">
        <v>377</v>
      </c>
      <c r="H81" s="2" t="s">
        <v>402</v>
      </c>
      <c r="I81" s="2" t="s">
        <v>379</v>
      </c>
      <c r="J81" s="2" t="s">
        <v>380</v>
      </c>
      <c r="K81" s="2" t="s">
        <v>381</v>
      </c>
      <c r="L81" s="2" t="s">
        <v>37</v>
      </c>
      <c r="M81" s="5">
        <v>46255</v>
      </c>
      <c r="N81" s="2" t="s">
        <v>382</v>
      </c>
    </row>
    <row r="82" spans="1:14" ht="57.6" x14ac:dyDescent="0.3">
      <c r="A82" s="2"/>
      <c r="B82" s="2" t="s">
        <v>403</v>
      </c>
      <c r="C82" s="2" t="s">
        <v>368</v>
      </c>
      <c r="D82" s="2" t="s">
        <v>376</v>
      </c>
      <c r="E82" s="2" t="s">
        <v>30</v>
      </c>
      <c r="F82" s="2" t="s">
        <v>336</v>
      </c>
      <c r="G82" s="2" t="s">
        <v>370</v>
      </c>
      <c r="H82" s="2" t="s">
        <v>404</v>
      </c>
      <c r="I82" s="2" t="s">
        <v>339</v>
      </c>
      <c r="J82" s="2" t="s">
        <v>405</v>
      </c>
      <c r="K82" s="2" t="s">
        <v>406</v>
      </c>
      <c r="L82" s="2" t="s">
        <v>37</v>
      </c>
      <c r="M82" s="5">
        <v>46255</v>
      </c>
      <c r="N82" s="2" t="s">
        <v>407</v>
      </c>
    </row>
    <row r="83" spans="1:14" ht="57.6" x14ac:dyDescent="0.3">
      <c r="A83" s="2"/>
      <c r="B83" s="2" t="s">
        <v>403</v>
      </c>
      <c r="C83" s="2" t="s">
        <v>368</v>
      </c>
      <c r="D83" s="2" t="s">
        <v>376</v>
      </c>
      <c r="E83" s="2" t="s">
        <v>30</v>
      </c>
      <c r="F83" s="2" t="s">
        <v>336</v>
      </c>
      <c r="G83" s="2" t="s">
        <v>370</v>
      </c>
      <c r="H83" s="2" t="s">
        <v>408</v>
      </c>
      <c r="I83" s="2" t="s">
        <v>339</v>
      </c>
      <c r="J83" s="2" t="s">
        <v>409</v>
      </c>
      <c r="K83" s="2" t="s">
        <v>406</v>
      </c>
      <c r="L83" s="2" t="s">
        <v>37</v>
      </c>
      <c r="M83" s="5">
        <v>46255</v>
      </c>
      <c r="N83" s="2" t="s">
        <v>410</v>
      </c>
    </row>
    <row r="84" spans="1:14" ht="57.6" x14ac:dyDescent="0.3">
      <c r="A84" s="2"/>
      <c r="B84" s="2" t="s">
        <v>403</v>
      </c>
      <c r="C84" s="2" t="s">
        <v>368</v>
      </c>
      <c r="D84" s="2" t="s">
        <v>376</v>
      </c>
      <c r="E84" s="2" t="s">
        <v>30</v>
      </c>
      <c r="F84" s="2" t="s">
        <v>336</v>
      </c>
      <c r="G84" s="2" t="s">
        <v>370</v>
      </c>
      <c r="H84" s="2" t="s">
        <v>411</v>
      </c>
      <c r="I84" s="2" t="s">
        <v>339</v>
      </c>
      <c r="J84" s="2" t="s">
        <v>412</v>
      </c>
      <c r="K84" s="2" t="s">
        <v>406</v>
      </c>
      <c r="L84" s="2" t="s">
        <v>37</v>
      </c>
      <c r="M84" s="5">
        <v>46255</v>
      </c>
      <c r="N84" s="2" t="s">
        <v>413</v>
      </c>
    </row>
    <row r="85" spans="1:14" ht="57.6" x14ac:dyDescent="0.3">
      <c r="A85" s="2"/>
      <c r="B85" s="2" t="s">
        <v>403</v>
      </c>
      <c r="C85" s="2" t="s">
        <v>368</v>
      </c>
      <c r="D85" s="2" t="s">
        <v>376</v>
      </c>
      <c r="E85" s="2" t="s">
        <v>30</v>
      </c>
      <c r="F85" s="2" t="s">
        <v>336</v>
      </c>
      <c r="G85" s="2" t="s">
        <v>370</v>
      </c>
      <c r="H85" s="2" t="s">
        <v>414</v>
      </c>
      <c r="I85" s="2" t="s">
        <v>339</v>
      </c>
      <c r="J85" s="2" t="s">
        <v>415</v>
      </c>
      <c r="K85" s="2" t="s">
        <v>406</v>
      </c>
      <c r="L85" s="2" t="s">
        <v>37</v>
      </c>
      <c r="M85" s="5">
        <v>46255</v>
      </c>
      <c r="N85" s="2" t="s">
        <v>416</v>
      </c>
    </row>
    <row r="86" spans="1:14" ht="57.6" x14ac:dyDescent="0.3">
      <c r="A86" s="2"/>
      <c r="B86" s="2" t="s">
        <v>403</v>
      </c>
      <c r="C86" s="2" t="s">
        <v>368</v>
      </c>
      <c r="D86" s="2" t="s">
        <v>376</v>
      </c>
      <c r="E86" s="2" t="s">
        <v>30</v>
      </c>
      <c r="F86" s="2" t="s">
        <v>336</v>
      </c>
      <c r="G86" s="2" t="s">
        <v>370</v>
      </c>
      <c r="H86" s="2" t="s">
        <v>417</v>
      </c>
      <c r="I86" s="2" t="s">
        <v>339</v>
      </c>
      <c r="J86" s="2" t="s">
        <v>409</v>
      </c>
      <c r="K86" s="2" t="s">
        <v>406</v>
      </c>
      <c r="L86" s="2" t="s">
        <v>37</v>
      </c>
      <c r="M86" s="5">
        <v>46255</v>
      </c>
      <c r="N86" s="2" t="s">
        <v>418</v>
      </c>
    </row>
    <row r="87" spans="1:14" ht="57.6" x14ac:dyDescent="0.3">
      <c r="A87" s="2"/>
      <c r="B87" s="2" t="s">
        <v>403</v>
      </c>
      <c r="C87" s="2" t="s">
        <v>368</v>
      </c>
      <c r="D87" s="2" t="s">
        <v>376</v>
      </c>
      <c r="E87" s="2" t="s">
        <v>30</v>
      </c>
      <c r="F87" s="2" t="s">
        <v>336</v>
      </c>
      <c r="G87" s="2" t="s">
        <v>370</v>
      </c>
      <c r="H87" s="2" t="s">
        <v>419</v>
      </c>
      <c r="I87" s="2" t="s">
        <v>339</v>
      </c>
      <c r="J87" s="2" t="s">
        <v>409</v>
      </c>
      <c r="K87" s="2" t="s">
        <v>406</v>
      </c>
      <c r="L87" s="2" t="s">
        <v>37</v>
      </c>
      <c r="M87" s="5">
        <v>46255</v>
      </c>
      <c r="N87" s="2" t="s">
        <v>420</v>
      </c>
    </row>
    <row r="88" spans="1:14" ht="57.6" x14ac:dyDescent="0.3">
      <c r="A88" s="2"/>
      <c r="B88" s="2" t="s">
        <v>421</v>
      </c>
      <c r="C88" s="2" t="s">
        <v>368</v>
      </c>
      <c r="D88" s="2" t="s">
        <v>422</v>
      </c>
      <c r="E88" s="2" t="s">
        <v>30</v>
      </c>
      <c r="F88" s="2" t="s">
        <v>423</v>
      </c>
      <c r="G88" s="2" t="s">
        <v>424</v>
      </c>
      <c r="H88" s="2" t="s">
        <v>425</v>
      </c>
      <c r="I88" s="2" t="s">
        <v>339</v>
      </c>
      <c r="J88" s="2" t="s">
        <v>426</v>
      </c>
      <c r="K88" s="2" t="s">
        <v>427</v>
      </c>
      <c r="L88" s="2" t="s">
        <v>37</v>
      </c>
      <c r="M88" s="5">
        <v>46255</v>
      </c>
      <c r="N88" s="2" t="s">
        <v>428</v>
      </c>
    </row>
    <row r="89" spans="1:14" ht="57.6" x14ac:dyDescent="0.3">
      <c r="A89" s="2"/>
      <c r="B89" s="2" t="s">
        <v>421</v>
      </c>
      <c r="C89" s="2" t="s">
        <v>368</v>
      </c>
      <c r="D89" s="2" t="s">
        <v>422</v>
      </c>
      <c r="E89" s="2" t="s">
        <v>30</v>
      </c>
      <c r="F89" s="2" t="s">
        <v>423</v>
      </c>
      <c r="G89" s="2" t="s">
        <v>424</v>
      </c>
      <c r="H89" s="2" t="s">
        <v>429</v>
      </c>
      <c r="I89" s="2" t="s">
        <v>339</v>
      </c>
      <c r="J89" s="2" t="s">
        <v>430</v>
      </c>
      <c r="K89" s="2" t="s">
        <v>427</v>
      </c>
      <c r="L89" s="2" t="s">
        <v>37</v>
      </c>
      <c r="M89" s="5">
        <v>46255</v>
      </c>
      <c r="N89" s="2" t="s">
        <v>431</v>
      </c>
    </row>
    <row r="90" spans="1:14" ht="43.2" x14ac:dyDescent="0.3">
      <c r="A90" s="2"/>
      <c r="B90" s="2" t="s">
        <v>432</v>
      </c>
      <c r="C90" s="2" t="s">
        <v>368</v>
      </c>
      <c r="D90" s="2" t="s">
        <v>433</v>
      </c>
      <c r="E90" s="2" t="s">
        <v>30</v>
      </c>
      <c r="F90" s="2" t="s">
        <v>434</v>
      </c>
      <c r="G90" s="2" t="s">
        <v>435</v>
      </c>
      <c r="H90" s="2" t="s">
        <v>436</v>
      </c>
      <c r="I90" s="2" t="s">
        <v>34</v>
      </c>
      <c r="J90" s="2" t="s">
        <v>437</v>
      </c>
      <c r="K90" s="2" t="s">
        <v>438</v>
      </c>
      <c r="L90" s="2" t="s">
        <v>37</v>
      </c>
      <c r="M90" s="5">
        <v>46255</v>
      </c>
      <c r="N90" s="2" t="s">
        <v>382</v>
      </c>
    </row>
    <row r="91" spans="1:14" ht="57.6" x14ac:dyDescent="0.3">
      <c r="A91" s="2"/>
      <c r="B91" s="2" t="s">
        <v>439</v>
      </c>
      <c r="C91" s="2" t="s">
        <v>368</v>
      </c>
      <c r="D91" s="2" t="s">
        <v>376</v>
      </c>
      <c r="E91" s="2" t="s">
        <v>30</v>
      </c>
      <c r="F91" s="2" t="s">
        <v>434</v>
      </c>
      <c r="G91" s="2" t="s">
        <v>440</v>
      </c>
      <c r="H91" s="2" t="s">
        <v>441</v>
      </c>
      <c r="I91" s="2" t="s">
        <v>339</v>
      </c>
      <c r="J91" s="2" t="s">
        <v>442</v>
      </c>
      <c r="K91" s="2" t="s">
        <v>443</v>
      </c>
      <c r="L91" s="2" t="s">
        <v>37</v>
      </c>
      <c r="M91" s="5">
        <v>46255</v>
      </c>
      <c r="N91" s="2" t="s">
        <v>444</v>
      </c>
    </row>
    <row r="92" spans="1:14" ht="57.6" x14ac:dyDescent="0.3">
      <c r="A92" s="2"/>
      <c r="B92" s="2" t="s">
        <v>439</v>
      </c>
      <c r="C92" s="2" t="s">
        <v>368</v>
      </c>
      <c r="D92" s="2" t="s">
        <v>376</v>
      </c>
      <c r="E92" s="2" t="s">
        <v>30</v>
      </c>
      <c r="F92" s="2" t="s">
        <v>434</v>
      </c>
      <c r="G92" s="2" t="s">
        <v>440</v>
      </c>
      <c r="H92" s="2" t="s">
        <v>445</v>
      </c>
      <c r="I92" s="2" t="s">
        <v>339</v>
      </c>
      <c r="J92" s="2" t="s">
        <v>446</v>
      </c>
      <c r="K92" s="2" t="s">
        <v>443</v>
      </c>
      <c r="L92" s="2" t="s">
        <v>37</v>
      </c>
      <c r="M92" s="5">
        <v>46255</v>
      </c>
      <c r="N92" s="2" t="s">
        <v>447</v>
      </c>
    </row>
    <row r="93" spans="1:14" ht="57.6" x14ac:dyDescent="0.3">
      <c r="A93" s="2"/>
      <c r="B93" s="2" t="s">
        <v>439</v>
      </c>
      <c r="C93" s="2" t="s">
        <v>368</v>
      </c>
      <c r="D93" s="2" t="s">
        <v>376</v>
      </c>
      <c r="E93" s="2" t="s">
        <v>30</v>
      </c>
      <c r="F93" s="2" t="s">
        <v>434</v>
      </c>
      <c r="G93" s="2" t="s">
        <v>440</v>
      </c>
      <c r="H93" s="2" t="s">
        <v>448</v>
      </c>
      <c r="I93" s="2" t="s">
        <v>339</v>
      </c>
      <c r="J93" s="2" t="s">
        <v>449</v>
      </c>
      <c r="K93" s="2" t="s">
        <v>443</v>
      </c>
      <c r="L93" s="2" t="s">
        <v>37</v>
      </c>
      <c r="M93" s="5">
        <v>46255</v>
      </c>
      <c r="N93" s="2" t="s">
        <v>450</v>
      </c>
    </row>
    <row r="94" spans="1:14" ht="43.2" x14ac:dyDescent="0.3">
      <c r="A94" s="2"/>
      <c r="B94" s="2" t="s">
        <v>439</v>
      </c>
      <c r="C94" s="2" t="s">
        <v>368</v>
      </c>
      <c r="D94" s="2" t="s">
        <v>376</v>
      </c>
      <c r="E94" s="2" t="s">
        <v>30</v>
      </c>
      <c r="F94" s="2" t="s">
        <v>434</v>
      </c>
      <c r="G94" s="2" t="s">
        <v>440</v>
      </c>
      <c r="H94" s="2" t="s">
        <v>451</v>
      </c>
      <c r="I94" s="2" t="s">
        <v>339</v>
      </c>
      <c r="J94" s="2" t="s">
        <v>452</v>
      </c>
      <c r="K94" s="2" t="s">
        <v>443</v>
      </c>
      <c r="L94" s="2" t="s">
        <v>37</v>
      </c>
      <c r="M94" s="5">
        <v>46255</v>
      </c>
      <c r="N94" s="2" t="s">
        <v>453</v>
      </c>
    </row>
    <row r="95" spans="1:14" ht="57.6" x14ac:dyDescent="0.3">
      <c r="A95" s="2"/>
      <c r="B95" s="2" t="s">
        <v>439</v>
      </c>
      <c r="C95" s="2" t="s">
        <v>368</v>
      </c>
      <c r="D95" s="2" t="s">
        <v>376</v>
      </c>
      <c r="E95" s="2" t="s">
        <v>30</v>
      </c>
      <c r="F95" s="2" t="s">
        <v>434</v>
      </c>
      <c r="G95" s="2" t="s">
        <v>440</v>
      </c>
      <c r="H95" s="2" t="s">
        <v>454</v>
      </c>
      <c r="I95" s="2" t="s">
        <v>339</v>
      </c>
      <c r="J95" s="2" t="s">
        <v>455</v>
      </c>
      <c r="K95" s="2" t="s">
        <v>443</v>
      </c>
      <c r="L95" s="2" t="s">
        <v>37</v>
      </c>
      <c r="M95" s="5">
        <v>46255</v>
      </c>
      <c r="N95" s="2" t="s">
        <v>456</v>
      </c>
    </row>
    <row r="96" spans="1:14" ht="43.2" x14ac:dyDescent="0.3">
      <c r="A96" s="2"/>
      <c r="B96" s="2" t="s">
        <v>439</v>
      </c>
      <c r="C96" s="2" t="s">
        <v>368</v>
      </c>
      <c r="D96" s="2" t="s">
        <v>376</v>
      </c>
      <c r="E96" s="2" t="s">
        <v>30</v>
      </c>
      <c r="F96" s="2" t="s">
        <v>434</v>
      </c>
      <c r="G96" s="2" t="s">
        <v>440</v>
      </c>
      <c r="H96" s="2" t="s">
        <v>457</v>
      </c>
      <c r="I96" s="2" t="s">
        <v>339</v>
      </c>
      <c r="J96" s="2" t="s">
        <v>458</v>
      </c>
      <c r="K96" s="2" t="s">
        <v>443</v>
      </c>
      <c r="L96" s="2" t="s">
        <v>37</v>
      </c>
      <c r="M96" s="5">
        <v>46255</v>
      </c>
      <c r="N96" s="2" t="s">
        <v>459</v>
      </c>
    </row>
    <row r="97" spans="1:14" ht="28.8" x14ac:dyDescent="0.3">
      <c r="A97" s="2"/>
      <c r="B97" s="2" t="s">
        <v>460</v>
      </c>
      <c r="C97" s="2" t="s">
        <v>334</v>
      </c>
      <c r="D97" s="2" t="s">
        <v>29</v>
      </c>
      <c r="E97" s="2" t="s">
        <v>30</v>
      </c>
      <c r="F97" s="2" t="s">
        <v>434</v>
      </c>
      <c r="G97" s="2" t="s">
        <v>461</v>
      </c>
      <c r="H97" s="2" t="s">
        <v>462</v>
      </c>
      <c r="I97" s="2" t="s">
        <v>379</v>
      </c>
      <c r="J97" s="2" t="s">
        <v>463</v>
      </c>
      <c r="K97" s="2" t="s">
        <v>464</v>
      </c>
      <c r="L97" s="2" t="s">
        <v>37</v>
      </c>
      <c r="M97" s="5">
        <v>46255</v>
      </c>
      <c r="N97" s="2" t="s">
        <v>140</v>
      </c>
    </row>
    <row r="98" spans="1:14" ht="28.8" x14ac:dyDescent="0.3">
      <c r="A98" s="2"/>
      <c r="B98" s="2" t="s">
        <v>460</v>
      </c>
      <c r="C98" s="2" t="s">
        <v>334</v>
      </c>
      <c r="D98" s="2" t="s">
        <v>29</v>
      </c>
      <c r="E98" s="2" t="s">
        <v>30</v>
      </c>
      <c r="F98" s="2" t="s">
        <v>434</v>
      </c>
      <c r="G98" s="2" t="s">
        <v>461</v>
      </c>
      <c r="H98" s="2" t="s">
        <v>465</v>
      </c>
      <c r="I98" s="2" t="s">
        <v>379</v>
      </c>
      <c r="J98" s="2" t="s">
        <v>463</v>
      </c>
      <c r="K98" s="2" t="s">
        <v>464</v>
      </c>
      <c r="L98" s="2" t="s">
        <v>37</v>
      </c>
      <c r="M98" s="5">
        <v>46255</v>
      </c>
      <c r="N98" s="2" t="s">
        <v>140</v>
      </c>
    </row>
    <row r="99" spans="1:14" ht="28.8" x14ac:dyDescent="0.3">
      <c r="A99" s="2"/>
      <c r="B99" s="2" t="s">
        <v>460</v>
      </c>
      <c r="C99" s="2" t="s">
        <v>334</v>
      </c>
      <c r="D99" s="2" t="s">
        <v>29</v>
      </c>
      <c r="E99" s="2" t="s">
        <v>30</v>
      </c>
      <c r="F99" s="2" t="s">
        <v>434</v>
      </c>
      <c r="G99" s="2" t="s">
        <v>461</v>
      </c>
      <c r="H99" s="2" t="s">
        <v>466</v>
      </c>
      <c r="I99" s="2" t="s">
        <v>379</v>
      </c>
      <c r="J99" s="2" t="s">
        <v>463</v>
      </c>
      <c r="K99" s="2" t="s">
        <v>464</v>
      </c>
      <c r="L99" s="2" t="s">
        <v>37</v>
      </c>
      <c r="M99" s="5">
        <v>46255</v>
      </c>
      <c r="N99" s="2" t="s">
        <v>140</v>
      </c>
    </row>
    <row r="100" spans="1:14" ht="28.8" x14ac:dyDescent="0.3">
      <c r="A100" s="2"/>
      <c r="B100" s="2" t="s">
        <v>460</v>
      </c>
      <c r="C100" s="2" t="s">
        <v>334</v>
      </c>
      <c r="D100" s="2" t="s">
        <v>29</v>
      </c>
      <c r="E100" s="2" t="s">
        <v>30</v>
      </c>
      <c r="F100" s="2" t="s">
        <v>434</v>
      </c>
      <c r="G100" s="2" t="s">
        <v>461</v>
      </c>
      <c r="H100" s="2" t="s">
        <v>467</v>
      </c>
      <c r="I100" s="2" t="s">
        <v>379</v>
      </c>
      <c r="J100" s="2" t="s">
        <v>463</v>
      </c>
      <c r="K100" s="2" t="s">
        <v>464</v>
      </c>
      <c r="L100" s="2" t="s">
        <v>37</v>
      </c>
      <c r="M100" s="5">
        <v>46255</v>
      </c>
      <c r="N100" s="2" t="s">
        <v>140</v>
      </c>
    </row>
    <row r="101" spans="1:14" ht="28.8" x14ac:dyDescent="0.3">
      <c r="A101" s="2"/>
      <c r="B101" s="2" t="s">
        <v>468</v>
      </c>
      <c r="C101" s="2" t="s">
        <v>334</v>
      </c>
      <c r="D101" s="2" t="s">
        <v>376</v>
      </c>
      <c r="E101" s="2" t="s">
        <v>30</v>
      </c>
      <c r="F101" s="2" t="s">
        <v>434</v>
      </c>
      <c r="G101" s="2" t="s">
        <v>461</v>
      </c>
      <c r="H101" s="2" t="s">
        <v>469</v>
      </c>
      <c r="I101" s="2" t="s">
        <v>379</v>
      </c>
      <c r="J101" s="2" t="s">
        <v>470</v>
      </c>
      <c r="K101" s="2" t="s">
        <v>470</v>
      </c>
      <c r="L101" s="2" t="s">
        <v>37</v>
      </c>
      <c r="M101" s="5">
        <v>46255</v>
      </c>
      <c r="N101" s="2" t="s">
        <v>140</v>
      </c>
    </row>
    <row r="102" spans="1:14" ht="28.8" x14ac:dyDescent="0.3">
      <c r="A102" s="2"/>
      <c r="B102" s="2" t="s">
        <v>468</v>
      </c>
      <c r="C102" s="2" t="s">
        <v>334</v>
      </c>
      <c r="D102" s="2" t="s">
        <v>376</v>
      </c>
      <c r="E102" s="2" t="s">
        <v>30</v>
      </c>
      <c r="F102" s="2" t="s">
        <v>434</v>
      </c>
      <c r="G102" s="2" t="s">
        <v>461</v>
      </c>
      <c r="H102" s="2" t="s">
        <v>471</v>
      </c>
      <c r="I102" s="2" t="s">
        <v>379</v>
      </c>
      <c r="J102" s="2" t="s">
        <v>470</v>
      </c>
      <c r="K102" s="2" t="s">
        <v>470</v>
      </c>
      <c r="L102" s="2" t="s">
        <v>37</v>
      </c>
      <c r="M102" s="5">
        <v>46255</v>
      </c>
      <c r="N102" s="2" t="s">
        <v>140</v>
      </c>
    </row>
    <row r="103" spans="1:14" ht="28.8" x14ac:dyDescent="0.3">
      <c r="A103" s="2"/>
      <c r="B103" s="2" t="s">
        <v>472</v>
      </c>
      <c r="C103" s="2" t="s">
        <v>334</v>
      </c>
      <c r="D103" s="2" t="s">
        <v>376</v>
      </c>
      <c r="E103" s="2" t="s">
        <v>30</v>
      </c>
      <c r="F103" s="2" t="s">
        <v>473</v>
      </c>
      <c r="G103" s="2" t="s">
        <v>474</v>
      </c>
      <c r="H103" s="2" t="s">
        <v>475</v>
      </c>
      <c r="I103" s="2" t="s">
        <v>379</v>
      </c>
      <c r="J103" s="2" t="s">
        <v>476</v>
      </c>
      <c r="K103" s="2" t="s">
        <v>476</v>
      </c>
      <c r="L103" s="2" t="s">
        <v>37</v>
      </c>
      <c r="M103" s="5">
        <v>46255</v>
      </c>
      <c r="N103" s="2" t="s">
        <v>140</v>
      </c>
    </row>
    <row r="104" spans="1:14" ht="28.8" x14ac:dyDescent="0.3">
      <c r="A104" s="2"/>
      <c r="B104" s="2" t="s">
        <v>472</v>
      </c>
      <c r="C104" s="2" t="s">
        <v>334</v>
      </c>
      <c r="D104" s="2" t="s">
        <v>376</v>
      </c>
      <c r="E104" s="2" t="s">
        <v>30</v>
      </c>
      <c r="F104" s="2" t="s">
        <v>473</v>
      </c>
      <c r="G104" s="2" t="s">
        <v>474</v>
      </c>
      <c r="H104" s="2" t="s">
        <v>477</v>
      </c>
      <c r="I104" s="2" t="s">
        <v>379</v>
      </c>
      <c r="J104" s="2" t="s">
        <v>476</v>
      </c>
      <c r="K104" s="2" t="s">
        <v>476</v>
      </c>
      <c r="L104" s="2" t="s">
        <v>37</v>
      </c>
      <c r="M104" s="5">
        <v>46255</v>
      </c>
      <c r="N104" s="2" t="s">
        <v>140</v>
      </c>
    </row>
    <row r="105" spans="1:14" ht="28.8" x14ac:dyDescent="0.3">
      <c r="A105" s="2"/>
      <c r="B105" s="2" t="s">
        <v>472</v>
      </c>
      <c r="C105" s="2" t="s">
        <v>334</v>
      </c>
      <c r="D105" s="2" t="s">
        <v>376</v>
      </c>
      <c r="E105" s="2" t="s">
        <v>30</v>
      </c>
      <c r="F105" s="2" t="s">
        <v>473</v>
      </c>
      <c r="G105" s="2" t="s">
        <v>474</v>
      </c>
      <c r="H105" s="2" t="s">
        <v>478</v>
      </c>
      <c r="I105" s="2" t="s">
        <v>379</v>
      </c>
      <c r="J105" s="2" t="s">
        <v>476</v>
      </c>
      <c r="K105" s="2" t="s">
        <v>476</v>
      </c>
      <c r="L105" s="2" t="s">
        <v>37</v>
      </c>
      <c r="M105" s="5">
        <v>46255</v>
      </c>
      <c r="N105" s="2" t="s">
        <v>140</v>
      </c>
    </row>
    <row r="106" spans="1:14" ht="28.8" x14ac:dyDescent="0.3">
      <c r="A106" s="2"/>
      <c r="B106" s="2" t="s">
        <v>472</v>
      </c>
      <c r="C106" s="2" t="s">
        <v>334</v>
      </c>
      <c r="D106" s="2" t="s">
        <v>376</v>
      </c>
      <c r="E106" s="2" t="s">
        <v>30</v>
      </c>
      <c r="F106" s="2" t="s">
        <v>473</v>
      </c>
      <c r="G106" s="2" t="s">
        <v>474</v>
      </c>
      <c r="H106" s="2" t="s">
        <v>479</v>
      </c>
      <c r="I106" s="2" t="s">
        <v>379</v>
      </c>
      <c r="J106" s="2" t="s">
        <v>476</v>
      </c>
      <c r="K106" s="2" t="s">
        <v>476</v>
      </c>
      <c r="L106" s="2" t="s">
        <v>37</v>
      </c>
      <c r="M106" s="5">
        <v>46255</v>
      </c>
      <c r="N106" s="2" t="s">
        <v>140</v>
      </c>
    </row>
    <row r="107" spans="1:14" ht="43.2" x14ac:dyDescent="0.3">
      <c r="A107" s="2"/>
      <c r="B107" s="2" t="s">
        <v>480</v>
      </c>
      <c r="C107" s="2" t="s">
        <v>334</v>
      </c>
      <c r="D107" s="2" t="s">
        <v>376</v>
      </c>
      <c r="E107" s="2" t="s">
        <v>30</v>
      </c>
      <c r="F107" s="2" t="s">
        <v>481</v>
      </c>
      <c r="G107" s="2" t="s">
        <v>482</v>
      </c>
      <c r="H107" s="2" t="s">
        <v>483</v>
      </c>
      <c r="I107" s="2" t="s">
        <v>379</v>
      </c>
      <c r="J107" s="2" t="s">
        <v>484</v>
      </c>
      <c r="K107" s="2" t="s">
        <v>484</v>
      </c>
      <c r="L107" s="2" t="s">
        <v>37</v>
      </c>
      <c r="M107" s="5">
        <v>46255</v>
      </c>
      <c r="N107" s="2" t="s">
        <v>485</v>
      </c>
    </row>
    <row r="108" spans="1:14" ht="43.2" x14ac:dyDescent="0.3">
      <c r="A108" s="2"/>
      <c r="B108" s="2" t="s">
        <v>480</v>
      </c>
      <c r="C108" s="2" t="s">
        <v>334</v>
      </c>
      <c r="D108" s="2" t="s">
        <v>376</v>
      </c>
      <c r="E108" s="2" t="s">
        <v>30</v>
      </c>
      <c r="F108" s="2" t="s">
        <v>481</v>
      </c>
      <c r="G108" s="2" t="s">
        <v>482</v>
      </c>
      <c r="H108" s="2" t="s">
        <v>486</v>
      </c>
      <c r="I108" s="2" t="s">
        <v>379</v>
      </c>
      <c r="J108" s="2" t="s">
        <v>484</v>
      </c>
      <c r="K108" s="2" t="s">
        <v>484</v>
      </c>
      <c r="L108" s="2" t="s">
        <v>37</v>
      </c>
      <c r="M108" s="5">
        <v>46255</v>
      </c>
      <c r="N108" s="2" t="s">
        <v>485</v>
      </c>
    </row>
    <row r="109" spans="1:14" ht="43.2" x14ac:dyDescent="0.3">
      <c r="A109" s="2"/>
      <c r="B109" s="2" t="s">
        <v>480</v>
      </c>
      <c r="C109" s="2" t="s">
        <v>334</v>
      </c>
      <c r="D109" s="2" t="s">
        <v>376</v>
      </c>
      <c r="E109" s="2" t="s">
        <v>30</v>
      </c>
      <c r="F109" s="2" t="s">
        <v>481</v>
      </c>
      <c r="G109" s="2" t="s">
        <v>482</v>
      </c>
      <c r="H109" s="2" t="s">
        <v>487</v>
      </c>
      <c r="I109" s="2" t="s">
        <v>379</v>
      </c>
      <c r="J109" s="2" t="s">
        <v>484</v>
      </c>
      <c r="K109" s="2" t="s">
        <v>484</v>
      </c>
      <c r="L109" s="2" t="s">
        <v>37</v>
      </c>
      <c r="M109" s="5">
        <v>46255</v>
      </c>
      <c r="N109" s="2" t="s">
        <v>485</v>
      </c>
    </row>
    <row r="110" spans="1:14" ht="43.2" x14ac:dyDescent="0.3">
      <c r="A110" s="2"/>
      <c r="B110" s="2" t="s">
        <v>480</v>
      </c>
      <c r="C110" s="2" t="s">
        <v>334</v>
      </c>
      <c r="D110" s="2" t="s">
        <v>376</v>
      </c>
      <c r="E110" s="2" t="s">
        <v>30</v>
      </c>
      <c r="F110" s="2" t="s">
        <v>481</v>
      </c>
      <c r="G110" s="2" t="s">
        <v>482</v>
      </c>
      <c r="H110" s="2" t="s">
        <v>488</v>
      </c>
      <c r="I110" s="2" t="s">
        <v>379</v>
      </c>
      <c r="J110" s="2" t="s">
        <v>484</v>
      </c>
      <c r="K110" s="2" t="s">
        <v>484</v>
      </c>
      <c r="L110" s="2" t="s">
        <v>37</v>
      </c>
      <c r="M110" s="5">
        <v>46255</v>
      </c>
      <c r="N110" s="2" t="s">
        <v>485</v>
      </c>
    </row>
    <row r="111" spans="1:14" ht="43.2" x14ac:dyDescent="0.3">
      <c r="A111" s="2"/>
      <c r="B111" s="2" t="s">
        <v>480</v>
      </c>
      <c r="C111" s="2" t="s">
        <v>334</v>
      </c>
      <c r="D111" s="2" t="s">
        <v>376</v>
      </c>
      <c r="E111" s="2" t="s">
        <v>30</v>
      </c>
      <c r="F111" s="2" t="s">
        <v>481</v>
      </c>
      <c r="G111" s="2" t="s">
        <v>482</v>
      </c>
      <c r="H111" s="2" t="s">
        <v>489</v>
      </c>
      <c r="I111" s="2" t="s">
        <v>379</v>
      </c>
      <c r="J111" s="2" t="s">
        <v>484</v>
      </c>
      <c r="K111" s="2" t="s">
        <v>484</v>
      </c>
      <c r="L111" s="2" t="s">
        <v>37</v>
      </c>
      <c r="M111" s="5">
        <v>46255</v>
      </c>
      <c r="N111" s="2" t="s">
        <v>485</v>
      </c>
    </row>
    <row r="112" spans="1:14" ht="43.2" x14ac:dyDescent="0.3">
      <c r="A112" s="2"/>
      <c r="B112" s="2" t="s">
        <v>480</v>
      </c>
      <c r="C112" s="2" t="s">
        <v>334</v>
      </c>
      <c r="D112" s="2" t="s">
        <v>376</v>
      </c>
      <c r="E112" s="2" t="s">
        <v>30</v>
      </c>
      <c r="F112" s="2" t="s">
        <v>481</v>
      </c>
      <c r="G112" s="2" t="s">
        <v>482</v>
      </c>
      <c r="H112" s="2" t="s">
        <v>490</v>
      </c>
      <c r="I112" s="2" t="s">
        <v>379</v>
      </c>
      <c r="J112" s="2" t="s">
        <v>484</v>
      </c>
      <c r="K112" s="2" t="s">
        <v>484</v>
      </c>
      <c r="L112" s="2" t="s">
        <v>37</v>
      </c>
      <c r="M112" s="5">
        <v>46255</v>
      </c>
      <c r="N112" s="2" t="s">
        <v>485</v>
      </c>
    </row>
    <row r="113" spans="1:14" ht="43.2" x14ac:dyDescent="0.3">
      <c r="A113" s="2"/>
      <c r="B113" s="2" t="s">
        <v>480</v>
      </c>
      <c r="C113" s="2" t="s">
        <v>334</v>
      </c>
      <c r="D113" s="2" t="s">
        <v>376</v>
      </c>
      <c r="E113" s="2" t="s">
        <v>30</v>
      </c>
      <c r="F113" s="2" t="s">
        <v>481</v>
      </c>
      <c r="G113" s="2" t="s">
        <v>482</v>
      </c>
      <c r="H113" s="2" t="s">
        <v>491</v>
      </c>
      <c r="I113" s="2" t="s">
        <v>379</v>
      </c>
      <c r="J113" s="2" t="s">
        <v>484</v>
      </c>
      <c r="K113" s="2" t="s">
        <v>484</v>
      </c>
      <c r="L113" s="2" t="s">
        <v>37</v>
      </c>
      <c r="M113" s="5">
        <v>46255</v>
      </c>
      <c r="N113" s="2" t="s">
        <v>485</v>
      </c>
    </row>
    <row r="114" spans="1:14" ht="43.2" x14ac:dyDescent="0.3">
      <c r="A114" s="2"/>
      <c r="B114" s="2" t="s">
        <v>480</v>
      </c>
      <c r="C114" s="2" t="s">
        <v>334</v>
      </c>
      <c r="D114" s="2" t="s">
        <v>376</v>
      </c>
      <c r="E114" s="2" t="s">
        <v>30</v>
      </c>
      <c r="F114" s="2" t="s">
        <v>481</v>
      </c>
      <c r="G114" s="2" t="s">
        <v>482</v>
      </c>
      <c r="H114" s="2" t="s">
        <v>492</v>
      </c>
      <c r="I114" s="2" t="s">
        <v>379</v>
      </c>
      <c r="J114" s="2" t="s">
        <v>484</v>
      </c>
      <c r="K114" s="2" t="s">
        <v>484</v>
      </c>
      <c r="L114" s="2" t="s">
        <v>37</v>
      </c>
      <c r="M114" s="5">
        <v>46255</v>
      </c>
      <c r="N114" s="2" t="s">
        <v>485</v>
      </c>
    </row>
    <row r="115" spans="1:14" ht="43.2" x14ac:dyDescent="0.3">
      <c r="A115" s="2"/>
      <c r="B115" s="2" t="s">
        <v>480</v>
      </c>
      <c r="C115" s="2" t="s">
        <v>334</v>
      </c>
      <c r="D115" s="2" t="s">
        <v>376</v>
      </c>
      <c r="E115" s="2" t="s">
        <v>30</v>
      </c>
      <c r="F115" s="2" t="s">
        <v>481</v>
      </c>
      <c r="G115" s="2" t="s">
        <v>482</v>
      </c>
      <c r="H115" s="2" t="s">
        <v>493</v>
      </c>
      <c r="I115" s="2" t="s">
        <v>379</v>
      </c>
      <c r="J115" s="2" t="s">
        <v>484</v>
      </c>
      <c r="K115" s="2" t="s">
        <v>484</v>
      </c>
      <c r="L115" s="2" t="s">
        <v>37</v>
      </c>
      <c r="M115" s="5">
        <v>46255</v>
      </c>
      <c r="N115" s="2" t="s">
        <v>485</v>
      </c>
    </row>
    <row r="116" spans="1:14" ht="43.2" x14ac:dyDescent="0.3">
      <c r="A116" s="2"/>
      <c r="B116" s="2" t="s">
        <v>480</v>
      </c>
      <c r="C116" s="2" t="s">
        <v>334</v>
      </c>
      <c r="D116" s="2" t="s">
        <v>376</v>
      </c>
      <c r="E116" s="2" t="s">
        <v>30</v>
      </c>
      <c r="F116" s="2" t="s">
        <v>481</v>
      </c>
      <c r="G116" s="2" t="s">
        <v>482</v>
      </c>
      <c r="H116" s="2" t="s">
        <v>494</v>
      </c>
      <c r="I116" s="2" t="s">
        <v>379</v>
      </c>
      <c r="J116" s="2" t="s">
        <v>484</v>
      </c>
      <c r="K116" s="2" t="s">
        <v>484</v>
      </c>
      <c r="L116" s="2" t="s">
        <v>37</v>
      </c>
      <c r="M116" s="5">
        <v>46255</v>
      </c>
      <c r="N116" s="2" t="s">
        <v>485</v>
      </c>
    </row>
    <row r="117" spans="1:14" ht="43.2" x14ac:dyDescent="0.3">
      <c r="A117" s="2"/>
      <c r="B117" s="2" t="s">
        <v>480</v>
      </c>
      <c r="C117" s="2" t="s">
        <v>334</v>
      </c>
      <c r="D117" s="2" t="s">
        <v>376</v>
      </c>
      <c r="E117" s="2" t="s">
        <v>30</v>
      </c>
      <c r="F117" s="2" t="s">
        <v>481</v>
      </c>
      <c r="G117" s="2" t="s">
        <v>482</v>
      </c>
      <c r="H117" s="2" t="s">
        <v>495</v>
      </c>
      <c r="I117" s="2" t="s">
        <v>379</v>
      </c>
      <c r="J117" s="2" t="s">
        <v>484</v>
      </c>
      <c r="K117" s="2" t="s">
        <v>484</v>
      </c>
      <c r="L117" s="2" t="s">
        <v>37</v>
      </c>
      <c r="M117" s="5">
        <v>46255</v>
      </c>
      <c r="N117" s="2" t="s">
        <v>485</v>
      </c>
    </row>
    <row r="118" spans="1:14" ht="43.2" x14ac:dyDescent="0.3">
      <c r="A118" s="2"/>
      <c r="B118" s="2" t="s">
        <v>480</v>
      </c>
      <c r="C118" s="2" t="s">
        <v>334</v>
      </c>
      <c r="D118" s="2" t="s">
        <v>376</v>
      </c>
      <c r="E118" s="2" t="s">
        <v>30</v>
      </c>
      <c r="F118" s="2" t="s">
        <v>481</v>
      </c>
      <c r="G118" s="2" t="s">
        <v>482</v>
      </c>
      <c r="H118" s="2" t="s">
        <v>496</v>
      </c>
      <c r="I118" s="2" t="s">
        <v>379</v>
      </c>
      <c r="J118" s="2" t="s">
        <v>484</v>
      </c>
      <c r="K118" s="2" t="s">
        <v>484</v>
      </c>
      <c r="L118" s="2" t="s">
        <v>37</v>
      </c>
      <c r="M118" s="5">
        <v>46255</v>
      </c>
      <c r="N118" s="2" t="s">
        <v>485</v>
      </c>
    </row>
    <row r="119" spans="1:14" ht="43.2" x14ac:dyDescent="0.3">
      <c r="A119" s="2"/>
      <c r="B119" s="2" t="s">
        <v>480</v>
      </c>
      <c r="C119" s="2" t="s">
        <v>334</v>
      </c>
      <c r="D119" s="2" t="s">
        <v>376</v>
      </c>
      <c r="E119" s="2" t="s">
        <v>30</v>
      </c>
      <c r="F119" s="2" t="s">
        <v>481</v>
      </c>
      <c r="G119" s="2" t="s">
        <v>482</v>
      </c>
      <c r="H119" s="2" t="s">
        <v>497</v>
      </c>
      <c r="I119" s="2" t="s">
        <v>379</v>
      </c>
      <c r="J119" s="2" t="s">
        <v>484</v>
      </c>
      <c r="K119" s="2" t="s">
        <v>484</v>
      </c>
      <c r="L119" s="2" t="s">
        <v>37</v>
      </c>
      <c r="M119" s="5">
        <v>46255</v>
      </c>
      <c r="N119" s="2" t="s">
        <v>485</v>
      </c>
    </row>
    <row r="120" spans="1:14" ht="43.2" x14ac:dyDescent="0.3">
      <c r="A120" s="2"/>
      <c r="B120" s="2" t="s">
        <v>480</v>
      </c>
      <c r="C120" s="2" t="s">
        <v>334</v>
      </c>
      <c r="D120" s="2" t="s">
        <v>376</v>
      </c>
      <c r="E120" s="2" t="s">
        <v>30</v>
      </c>
      <c r="F120" s="2" t="s">
        <v>481</v>
      </c>
      <c r="G120" s="2" t="s">
        <v>482</v>
      </c>
      <c r="H120" s="2" t="s">
        <v>498</v>
      </c>
      <c r="I120" s="2" t="s">
        <v>379</v>
      </c>
      <c r="J120" s="2" t="s">
        <v>484</v>
      </c>
      <c r="K120" s="2" t="s">
        <v>484</v>
      </c>
      <c r="L120" s="2" t="s">
        <v>37</v>
      </c>
      <c r="M120" s="5">
        <v>46255</v>
      </c>
      <c r="N120" s="2" t="s">
        <v>485</v>
      </c>
    </row>
    <row r="121" spans="1:14" ht="43.2" x14ac:dyDescent="0.3">
      <c r="A121" s="2"/>
      <c r="B121" s="2" t="s">
        <v>480</v>
      </c>
      <c r="C121" s="2" t="s">
        <v>334</v>
      </c>
      <c r="D121" s="2" t="s">
        <v>376</v>
      </c>
      <c r="E121" s="2" t="s">
        <v>30</v>
      </c>
      <c r="F121" s="2" t="s">
        <v>481</v>
      </c>
      <c r="G121" s="2" t="s">
        <v>482</v>
      </c>
      <c r="H121" s="2" t="s">
        <v>499</v>
      </c>
      <c r="I121" s="2" t="s">
        <v>379</v>
      </c>
      <c r="J121" s="2" t="s">
        <v>484</v>
      </c>
      <c r="K121" s="2" t="s">
        <v>484</v>
      </c>
      <c r="L121" s="2" t="s">
        <v>37</v>
      </c>
      <c r="M121" s="5">
        <v>46255</v>
      </c>
      <c r="N121" s="2" t="s">
        <v>485</v>
      </c>
    </row>
    <row r="122" spans="1:14" ht="43.2" x14ac:dyDescent="0.3">
      <c r="A122" s="2"/>
      <c r="B122" s="2" t="s">
        <v>480</v>
      </c>
      <c r="C122" s="2" t="s">
        <v>334</v>
      </c>
      <c r="D122" s="2" t="s">
        <v>376</v>
      </c>
      <c r="E122" s="2" t="s">
        <v>30</v>
      </c>
      <c r="F122" s="2" t="s">
        <v>481</v>
      </c>
      <c r="G122" s="2" t="s">
        <v>482</v>
      </c>
      <c r="H122" s="2" t="s">
        <v>500</v>
      </c>
      <c r="I122" s="2" t="s">
        <v>379</v>
      </c>
      <c r="J122" s="2" t="s">
        <v>484</v>
      </c>
      <c r="K122" s="2" t="s">
        <v>484</v>
      </c>
      <c r="L122" s="2" t="s">
        <v>37</v>
      </c>
      <c r="M122" s="5">
        <v>46255</v>
      </c>
      <c r="N122" s="2" t="s">
        <v>485</v>
      </c>
    </row>
    <row r="123" spans="1:14" ht="43.2" x14ac:dyDescent="0.3">
      <c r="A123" s="2"/>
      <c r="B123" s="2" t="s">
        <v>480</v>
      </c>
      <c r="C123" s="2" t="s">
        <v>334</v>
      </c>
      <c r="D123" s="2" t="s">
        <v>376</v>
      </c>
      <c r="E123" s="2" t="s">
        <v>30</v>
      </c>
      <c r="F123" s="2" t="s">
        <v>481</v>
      </c>
      <c r="G123" s="2" t="s">
        <v>482</v>
      </c>
      <c r="H123" s="2" t="s">
        <v>501</v>
      </c>
      <c r="I123" s="2" t="s">
        <v>379</v>
      </c>
      <c r="J123" s="2" t="s">
        <v>484</v>
      </c>
      <c r="K123" s="2" t="s">
        <v>484</v>
      </c>
      <c r="L123" s="2" t="s">
        <v>37</v>
      </c>
      <c r="M123" s="5">
        <v>46255</v>
      </c>
      <c r="N123" s="2" t="s">
        <v>485</v>
      </c>
    </row>
    <row r="124" spans="1:14" ht="43.2" x14ac:dyDescent="0.3">
      <c r="A124" s="2"/>
      <c r="B124" s="2" t="s">
        <v>480</v>
      </c>
      <c r="C124" s="2" t="s">
        <v>334</v>
      </c>
      <c r="D124" s="2" t="s">
        <v>376</v>
      </c>
      <c r="E124" s="2" t="s">
        <v>30</v>
      </c>
      <c r="F124" s="2" t="s">
        <v>481</v>
      </c>
      <c r="G124" s="2" t="s">
        <v>482</v>
      </c>
      <c r="H124" s="2" t="s">
        <v>502</v>
      </c>
      <c r="I124" s="2" t="s">
        <v>379</v>
      </c>
      <c r="J124" s="2" t="s">
        <v>484</v>
      </c>
      <c r="K124" s="2" t="s">
        <v>484</v>
      </c>
      <c r="L124" s="2" t="s">
        <v>37</v>
      </c>
      <c r="M124" s="5">
        <v>46255</v>
      </c>
      <c r="N124" s="2" t="s">
        <v>485</v>
      </c>
    </row>
    <row r="125" spans="1:14" ht="43.2" x14ac:dyDescent="0.3">
      <c r="A125" s="2"/>
      <c r="B125" s="2" t="s">
        <v>480</v>
      </c>
      <c r="C125" s="2" t="s">
        <v>334</v>
      </c>
      <c r="D125" s="2" t="s">
        <v>376</v>
      </c>
      <c r="E125" s="2" t="s">
        <v>30</v>
      </c>
      <c r="F125" s="2" t="s">
        <v>481</v>
      </c>
      <c r="G125" s="2" t="s">
        <v>482</v>
      </c>
      <c r="H125" s="2" t="s">
        <v>503</v>
      </c>
      <c r="I125" s="2" t="s">
        <v>379</v>
      </c>
      <c r="J125" s="2" t="s">
        <v>484</v>
      </c>
      <c r="K125" s="2" t="s">
        <v>484</v>
      </c>
      <c r="L125" s="2" t="s">
        <v>37</v>
      </c>
      <c r="M125" s="5">
        <v>46255</v>
      </c>
      <c r="N125" s="2" t="s">
        <v>485</v>
      </c>
    </row>
    <row r="126" spans="1:14" ht="43.2" x14ac:dyDescent="0.3">
      <c r="A126" s="2"/>
      <c r="B126" s="2" t="s">
        <v>504</v>
      </c>
      <c r="C126" s="2" t="s">
        <v>505</v>
      </c>
      <c r="D126" s="2" t="s">
        <v>29</v>
      </c>
      <c r="E126" s="2" t="s">
        <v>30</v>
      </c>
      <c r="F126" s="2" t="s">
        <v>506</v>
      </c>
      <c r="G126" s="2" t="s">
        <v>507</v>
      </c>
      <c r="H126" s="2" t="s">
        <v>508</v>
      </c>
      <c r="I126" s="2" t="s">
        <v>34</v>
      </c>
      <c r="J126" s="2" t="s">
        <v>509</v>
      </c>
      <c r="K126" s="2" t="s">
        <v>509</v>
      </c>
      <c r="L126" s="2" t="s">
        <v>37</v>
      </c>
      <c r="M126" s="5">
        <v>46255</v>
      </c>
      <c r="N126" s="2" t="s">
        <v>485</v>
      </c>
    </row>
    <row r="127" spans="1:14" ht="28.8" x14ac:dyDescent="0.3">
      <c r="A127" s="2"/>
      <c r="B127" s="2" t="s">
        <v>510</v>
      </c>
      <c r="C127" s="2" t="s">
        <v>505</v>
      </c>
      <c r="D127" s="2" t="s">
        <v>376</v>
      </c>
      <c r="E127" s="2" t="s">
        <v>30</v>
      </c>
      <c r="F127" s="2" t="s">
        <v>511</v>
      </c>
      <c r="G127" s="2" t="s">
        <v>512</v>
      </c>
      <c r="H127" s="2" t="s">
        <v>513</v>
      </c>
      <c r="I127" s="2" t="s">
        <v>379</v>
      </c>
      <c r="J127" s="2" t="s">
        <v>514</v>
      </c>
      <c r="K127" s="2" t="s">
        <v>514</v>
      </c>
      <c r="L127" s="2" t="s">
        <v>37</v>
      </c>
      <c r="M127" s="5">
        <v>46255</v>
      </c>
      <c r="N127" s="2" t="s">
        <v>140</v>
      </c>
    </row>
    <row r="128" spans="1:14" ht="28.8" x14ac:dyDescent="0.3">
      <c r="A128" s="2"/>
      <c r="B128" s="2" t="s">
        <v>510</v>
      </c>
      <c r="C128" s="2" t="s">
        <v>505</v>
      </c>
      <c r="D128" s="2" t="s">
        <v>376</v>
      </c>
      <c r="E128" s="2" t="s">
        <v>30</v>
      </c>
      <c r="F128" s="2" t="s">
        <v>511</v>
      </c>
      <c r="G128" s="2" t="s">
        <v>512</v>
      </c>
      <c r="H128" s="2" t="s">
        <v>515</v>
      </c>
      <c r="I128" s="2" t="s">
        <v>379</v>
      </c>
      <c r="J128" s="2" t="s">
        <v>514</v>
      </c>
      <c r="K128" s="2" t="s">
        <v>514</v>
      </c>
      <c r="L128" s="2" t="s">
        <v>37</v>
      </c>
      <c r="M128" s="5">
        <v>46255</v>
      </c>
      <c r="N128" s="2" t="s">
        <v>140</v>
      </c>
    </row>
    <row r="129" spans="1:14" ht="28.8" x14ac:dyDescent="0.3">
      <c r="A129" s="2"/>
      <c r="B129" s="2" t="s">
        <v>510</v>
      </c>
      <c r="C129" s="2" t="s">
        <v>505</v>
      </c>
      <c r="D129" s="2" t="s">
        <v>376</v>
      </c>
      <c r="E129" s="2" t="s">
        <v>30</v>
      </c>
      <c r="F129" s="2" t="s">
        <v>511</v>
      </c>
      <c r="G129" s="2" t="s">
        <v>512</v>
      </c>
      <c r="H129" s="2" t="s">
        <v>516</v>
      </c>
      <c r="I129" s="2" t="s">
        <v>379</v>
      </c>
      <c r="J129" s="2" t="s">
        <v>514</v>
      </c>
      <c r="K129" s="2" t="s">
        <v>514</v>
      </c>
      <c r="L129" s="2" t="s">
        <v>37</v>
      </c>
      <c r="M129" s="5">
        <v>46255</v>
      </c>
      <c r="N129" s="2" t="s">
        <v>140</v>
      </c>
    </row>
    <row r="130" spans="1:14" ht="28.8" x14ac:dyDescent="0.3">
      <c r="A130" s="2"/>
      <c r="B130" s="2" t="s">
        <v>510</v>
      </c>
      <c r="C130" s="2" t="s">
        <v>505</v>
      </c>
      <c r="D130" s="2" t="s">
        <v>376</v>
      </c>
      <c r="E130" s="2" t="s">
        <v>30</v>
      </c>
      <c r="F130" s="2" t="s">
        <v>511</v>
      </c>
      <c r="G130" s="2" t="s">
        <v>512</v>
      </c>
      <c r="H130" s="2" t="s">
        <v>517</v>
      </c>
      <c r="I130" s="2" t="s">
        <v>379</v>
      </c>
      <c r="J130" s="2" t="s">
        <v>514</v>
      </c>
      <c r="K130" s="2" t="s">
        <v>514</v>
      </c>
      <c r="L130" s="2" t="s">
        <v>37</v>
      </c>
      <c r="M130" s="5">
        <v>46255</v>
      </c>
      <c r="N130" s="2" t="s">
        <v>140</v>
      </c>
    </row>
    <row r="131" spans="1:14" ht="28.8" x14ac:dyDescent="0.3">
      <c r="A131" s="2"/>
      <c r="B131" s="2" t="s">
        <v>510</v>
      </c>
      <c r="C131" s="2" t="s">
        <v>505</v>
      </c>
      <c r="D131" s="2" t="s">
        <v>376</v>
      </c>
      <c r="E131" s="2" t="s">
        <v>30</v>
      </c>
      <c r="F131" s="2" t="s">
        <v>511</v>
      </c>
      <c r="G131" s="2" t="s">
        <v>512</v>
      </c>
      <c r="H131" s="2" t="s">
        <v>518</v>
      </c>
      <c r="I131" s="2" t="s">
        <v>379</v>
      </c>
      <c r="J131" s="2" t="s">
        <v>514</v>
      </c>
      <c r="K131" s="2" t="s">
        <v>514</v>
      </c>
      <c r="L131" s="2" t="s">
        <v>37</v>
      </c>
      <c r="M131" s="5">
        <v>46255</v>
      </c>
      <c r="N131" s="2" t="s">
        <v>140</v>
      </c>
    </row>
    <row r="132" spans="1:14" ht="28.8" x14ac:dyDescent="0.3">
      <c r="A132" s="2"/>
      <c r="B132" s="2" t="s">
        <v>510</v>
      </c>
      <c r="C132" s="2" t="s">
        <v>505</v>
      </c>
      <c r="D132" s="2" t="s">
        <v>376</v>
      </c>
      <c r="E132" s="2" t="s">
        <v>30</v>
      </c>
      <c r="F132" s="2" t="s">
        <v>511</v>
      </c>
      <c r="G132" s="2" t="s">
        <v>512</v>
      </c>
      <c r="H132" s="2" t="s">
        <v>519</v>
      </c>
      <c r="I132" s="2" t="s">
        <v>379</v>
      </c>
      <c r="J132" s="2" t="s">
        <v>514</v>
      </c>
      <c r="K132" s="2" t="s">
        <v>514</v>
      </c>
      <c r="L132" s="2" t="s">
        <v>37</v>
      </c>
      <c r="M132" s="5">
        <v>46255</v>
      </c>
      <c r="N132" s="2" t="s">
        <v>140</v>
      </c>
    </row>
  </sheetData>
  <autoFilter ref="A1:N132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22" customWidth="1"/>
    <col min="3" max="4" width="24" customWidth="1"/>
    <col min="5" max="5" width="20" customWidth="1"/>
  </cols>
  <sheetData>
    <row r="1" spans="1:5" ht="31.95" customHeight="1" x14ac:dyDescent="0.3">
      <c r="A1" s="1" t="s">
        <v>14</v>
      </c>
      <c r="B1" s="1" t="s">
        <v>520</v>
      </c>
      <c r="C1" s="1" t="s">
        <v>23</v>
      </c>
      <c r="D1" s="1" t="s">
        <v>521</v>
      </c>
      <c r="E1" s="1" t="s">
        <v>3</v>
      </c>
    </row>
    <row r="2" spans="1:5" ht="57.6" x14ac:dyDescent="0.3">
      <c r="A2" s="2" t="s">
        <v>238</v>
      </c>
      <c r="B2" s="2" t="s">
        <v>242</v>
      </c>
      <c r="C2" s="2" t="s">
        <v>243</v>
      </c>
      <c r="D2" s="2" t="s">
        <v>522</v>
      </c>
      <c r="E2" s="3">
        <v>46255</v>
      </c>
    </row>
    <row r="3" spans="1:5" ht="57.6" x14ac:dyDescent="0.3">
      <c r="A3" s="2" t="s">
        <v>27</v>
      </c>
      <c r="B3" s="2" t="s">
        <v>245</v>
      </c>
      <c r="C3" s="2" t="s">
        <v>36</v>
      </c>
      <c r="D3" s="2" t="s">
        <v>522</v>
      </c>
      <c r="E3" s="3">
        <v>46255</v>
      </c>
    </row>
    <row r="4" spans="1:5" ht="57.6" x14ac:dyDescent="0.3">
      <c r="A4" s="2" t="s">
        <v>39</v>
      </c>
      <c r="B4" s="2" t="s">
        <v>248</v>
      </c>
      <c r="C4" s="2" t="s">
        <v>45</v>
      </c>
      <c r="D4" s="2" t="s">
        <v>522</v>
      </c>
      <c r="E4" s="3">
        <v>46255</v>
      </c>
    </row>
    <row r="5" spans="1:5" ht="57.6" x14ac:dyDescent="0.3">
      <c r="A5" s="2" t="s">
        <v>250</v>
      </c>
      <c r="B5" s="2" t="s">
        <v>254</v>
      </c>
      <c r="C5" s="2" t="s">
        <v>255</v>
      </c>
      <c r="D5" s="2" t="s">
        <v>522</v>
      </c>
      <c r="E5" s="3">
        <v>46255</v>
      </c>
    </row>
    <row r="6" spans="1:5" ht="57.6" x14ac:dyDescent="0.3">
      <c r="A6" s="2" t="s">
        <v>257</v>
      </c>
      <c r="B6" s="2" t="s">
        <v>262</v>
      </c>
      <c r="C6" s="2" t="s">
        <v>263</v>
      </c>
      <c r="D6" s="2" t="s">
        <v>522</v>
      </c>
      <c r="E6" s="3">
        <v>46255</v>
      </c>
    </row>
    <row r="7" spans="1:5" ht="57.6" x14ac:dyDescent="0.3">
      <c r="A7" s="2" t="s">
        <v>265</v>
      </c>
      <c r="B7" s="2" t="s">
        <v>268</v>
      </c>
      <c r="C7" s="2" t="s">
        <v>269</v>
      </c>
      <c r="D7" s="2" t="s">
        <v>522</v>
      </c>
      <c r="E7" s="3">
        <v>46255</v>
      </c>
    </row>
    <row r="8" spans="1:5" ht="57.6" x14ac:dyDescent="0.3">
      <c r="A8" s="2" t="s">
        <v>271</v>
      </c>
      <c r="B8" s="2" t="s">
        <v>275</v>
      </c>
      <c r="C8" s="2" t="s">
        <v>276</v>
      </c>
      <c r="D8" s="2" t="s">
        <v>522</v>
      </c>
      <c r="E8" s="3">
        <v>46255</v>
      </c>
    </row>
    <row r="9" spans="1:5" ht="57.6" x14ac:dyDescent="0.3">
      <c r="A9" s="2" t="s">
        <v>278</v>
      </c>
      <c r="B9" s="2" t="s">
        <v>282</v>
      </c>
      <c r="C9" s="2" t="s">
        <v>283</v>
      </c>
      <c r="D9" s="2" t="s">
        <v>522</v>
      </c>
      <c r="E9" s="3">
        <v>46255</v>
      </c>
    </row>
    <row r="10" spans="1:5" ht="57.6" x14ac:dyDescent="0.3">
      <c r="A10" s="2" t="s">
        <v>285</v>
      </c>
      <c r="B10" s="2" t="s">
        <v>289</v>
      </c>
      <c r="C10" s="2" t="s">
        <v>290</v>
      </c>
      <c r="D10" s="2" t="s">
        <v>522</v>
      </c>
      <c r="E10" s="3">
        <v>46255</v>
      </c>
    </row>
    <row r="11" spans="1:5" ht="57.6" x14ac:dyDescent="0.3">
      <c r="A11" s="2" t="s">
        <v>54</v>
      </c>
      <c r="B11" s="2" t="s">
        <v>292</v>
      </c>
      <c r="C11" s="2" t="s">
        <v>59</v>
      </c>
      <c r="D11" s="2" t="s">
        <v>522</v>
      </c>
      <c r="E11" s="3">
        <v>46255</v>
      </c>
    </row>
    <row r="12" spans="1:5" ht="57.6" x14ac:dyDescent="0.3">
      <c r="A12" s="2" t="s">
        <v>294</v>
      </c>
      <c r="B12" s="2" t="s">
        <v>298</v>
      </c>
      <c r="C12" s="2" t="s">
        <v>299</v>
      </c>
      <c r="D12" s="2" t="s">
        <v>522</v>
      </c>
      <c r="E12" s="3">
        <v>46255</v>
      </c>
    </row>
    <row r="13" spans="1:5" ht="57.6" x14ac:dyDescent="0.3">
      <c r="A13" s="2" t="s">
        <v>60</v>
      </c>
      <c r="B13" s="2" t="s">
        <v>302</v>
      </c>
      <c r="C13" s="2" t="s">
        <v>65</v>
      </c>
      <c r="D13" s="2" t="s">
        <v>522</v>
      </c>
      <c r="E13" s="3">
        <v>46255</v>
      </c>
    </row>
    <row r="14" spans="1:5" ht="57.6" x14ac:dyDescent="0.3">
      <c r="A14" s="2" t="s">
        <v>162</v>
      </c>
      <c r="B14" s="2" t="s">
        <v>168</v>
      </c>
      <c r="C14" s="2" t="s">
        <v>168</v>
      </c>
      <c r="D14" s="2" t="s">
        <v>522</v>
      </c>
      <c r="E14" s="3">
        <v>46255</v>
      </c>
    </row>
    <row r="15" spans="1:5" ht="57.6" x14ac:dyDescent="0.3">
      <c r="A15" s="2" t="s">
        <v>75</v>
      </c>
      <c r="B15" s="2" t="s">
        <v>81</v>
      </c>
      <c r="C15" s="2" t="s">
        <v>81</v>
      </c>
      <c r="D15" s="2" t="s">
        <v>522</v>
      </c>
      <c r="E15" s="3">
        <v>46255</v>
      </c>
    </row>
    <row r="16" spans="1:5" ht="57.6" x14ac:dyDescent="0.3">
      <c r="A16" s="2" t="s">
        <v>47</v>
      </c>
      <c r="B16" s="2" t="s">
        <v>51</v>
      </c>
      <c r="C16" s="2" t="s">
        <v>52</v>
      </c>
      <c r="D16" s="2" t="s">
        <v>522</v>
      </c>
      <c r="E16" s="3">
        <v>46255</v>
      </c>
    </row>
    <row r="17" spans="1:5" ht="57.6" x14ac:dyDescent="0.3">
      <c r="A17" s="2" t="s">
        <v>83</v>
      </c>
      <c r="B17" s="2" t="s">
        <v>88</v>
      </c>
      <c r="C17" s="2" t="s">
        <v>88</v>
      </c>
      <c r="D17" s="2" t="s">
        <v>522</v>
      </c>
      <c r="E17" s="3">
        <v>46255</v>
      </c>
    </row>
    <row r="18" spans="1:5" ht="57.6" x14ac:dyDescent="0.3">
      <c r="A18" s="2" t="s">
        <v>211</v>
      </c>
      <c r="B18" s="2" t="s">
        <v>313</v>
      </c>
      <c r="C18" s="2" t="s">
        <v>215</v>
      </c>
      <c r="D18" s="2" t="s">
        <v>522</v>
      </c>
      <c r="E18" s="3">
        <v>46255</v>
      </c>
    </row>
    <row r="19" spans="1:5" ht="57.6" x14ac:dyDescent="0.3">
      <c r="A19" s="2" t="s">
        <v>315</v>
      </c>
      <c r="B19" s="2" t="s">
        <v>319</v>
      </c>
      <c r="C19" s="2" t="s">
        <v>319</v>
      </c>
      <c r="D19" s="2" t="s">
        <v>522</v>
      </c>
      <c r="E19" s="3">
        <v>46255</v>
      </c>
    </row>
    <row r="20" spans="1:5" ht="57.6" x14ac:dyDescent="0.3">
      <c r="A20" s="2" t="s">
        <v>321</v>
      </c>
      <c r="B20" s="2" t="s">
        <v>325</v>
      </c>
      <c r="C20" s="2" t="s">
        <v>326</v>
      </c>
      <c r="D20" s="2" t="s">
        <v>522</v>
      </c>
      <c r="E20" s="3">
        <v>46255</v>
      </c>
    </row>
    <row r="21" spans="1:5" ht="57.6" x14ac:dyDescent="0.3">
      <c r="A21" s="2" t="s">
        <v>327</v>
      </c>
      <c r="B21" s="2" t="s">
        <v>331</v>
      </c>
      <c r="C21" s="2" t="s">
        <v>331</v>
      </c>
      <c r="D21" s="2" t="s">
        <v>522</v>
      </c>
      <c r="E21" s="3">
        <v>46255</v>
      </c>
    </row>
    <row r="22" spans="1:5" ht="57.6" x14ac:dyDescent="0.3">
      <c r="A22" s="2" t="s">
        <v>27</v>
      </c>
      <c r="B22" s="2" t="s">
        <v>35</v>
      </c>
      <c r="C22" s="2" t="s">
        <v>36</v>
      </c>
      <c r="D22" s="2" t="s">
        <v>522</v>
      </c>
      <c r="E22" s="3">
        <v>46255</v>
      </c>
    </row>
    <row r="23" spans="1:5" ht="57.6" x14ac:dyDescent="0.3">
      <c r="A23" s="2" t="s">
        <v>39</v>
      </c>
      <c r="B23" s="2" t="s">
        <v>44</v>
      </c>
      <c r="C23" s="2" t="s">
        <v>45</v>
      </c>
      <c r="D23" s="2" t="s">
        <v>522</v>
      </c>
      <c r="E23" s="3">
        <v>46255</v>
      </c>
    </row>
    <row r="24" spans="1:5" ht="57.6" x14ac:dyDescent="0.3">
      <c r="A24" s="2" t="s">
        <v>47</v>
      </c>
      <c r="B24" s="2" t="s">
        <v>51</v>
      </c>
      <c r="C24" s="2" t="s">
        <v>52</v>
      </c>
      <c r="D24" s="2" t="s">
        <v>522</v>
      </c>
      <c r="E24" s="3">
        <v>46255</v>
      </c>
    </row>
    <row r="25" spans="1:5" ht="57.6" x14ac:dyDescent="0.3">
      <c r="A25" s="2" t="s">
        <v>54</v>
      </c>
      <c r="B25" s="2" t="s">
        <v>58</v>
      </c>
      <c r="C25" s="2" t="s">
        <v>59</v>
      </c>
      <c r="D25" s="2" t="s">
        <v>522</v>
      </c>
      <c r="E25" s="3">
        <v>46255</v>
      </c>
    </row>
    <row r="26" spans="1:5" ht="57.6" x14ac:dyDescent="0.3">
      <c r="A26" s="2" t="s">
        <v>60</v>
      </c>
      <c r="B26" s="2" t="s">
        <v>64</v>
      </c>
      <c r="C26" s="2" t="s">
        <v>65</v>
      </c>
      <c r="D26" s="2" t="s">
        <v>522</v>
      </c>
      <c r="E26" s="3">
        <v>46255</v>
      </c>
    </row>
    <row r="27" spans="1:5" ht="57.6" x14ac:dyDescent="0.3">
      <c r="A27" s="2" t="s">
        <v>67</v>
      </c>
      <c r="B27" s="2" t="s">
        <v>72</v>
      </c>
      <c r="C27" s="2" t="s">
        <v>73</v>
      </c>
      <c r="D27" s="2" t="s">
        <v>522</v>
      </c>
      <c r="E27" s="3">
        <v>46255</v>
      </c>
    </row>
    <row r="28" spans="1:5" ht="57.6" x14ac:dyDescent="0.3">
      <c r="A28" s="2" t="s">
        <v>75</v>
      </c>
      <c r="B28" s="2" t="s">
        <v>80</v>
      </c>
      <c r="C28" s="2" t="s">
        <v>81</v>
      </c>
      <c r="D28" s="2" t="s">
        <v>522</v>
      </c>
      <c r="E28" s="3">
        <v>46255</v>
      </c>
    </row>
    <row r="29" spans="1:5" ht="57.6" x14ac:dyDescent="0.3">
      <c r="A29" s="2" t="s">
        <v>83</v>
      </c>
      <c r="B29" s="2" t="s">
        <v>87</v>
      </c>
      <c r="C29" s="2" t="s">
        <v>88</v>
      </c>
      <c r="D29" s="2" t="s">
        <v>522</v>
      </c>
      <c r="E29" s="3">
        <v>46255</v>
      </c>
    </row>
    <row r="30" spans="1:5" ht="57.6" x14ac:dyDescent="0.3">
      <c r="A30" s="2" t="s">
        <v>90</v>
      </c>
      <c r="B30" s="2" t="s">
        <v>95</v>
      </c>
      <c r="C30" s="2" t="s">
        <v>96</v>
      </c>
      <c r="D30" s="2" t="s">
        <v>522</v>
      </c>
      <c r="E30" s="3">
        <v>46255</v>
      </c>
    </row>
    <row r="31" spans="1:5" ht="86.4" x14ac:dyDescent="0.3">
      <c r="A31" s="2" t="s">
        <v>97</v>
      </c>
      <c r="B31" s="2" t="s">
        <v>102</v>
      </c>
      <c r="C31" s="2" t="s">
        <v>103</v>
      </c>
      <c r="D31" s="2" t="s">
        <v>522</v>
      </c>
      <c r="E31" s="3">
        <v>46255</v>
      </c>
    </row>
    <row r="32" spans="1:5" ht="57.6" x14ac:dyDescent="0.3">
      <c r="A32" s="2" t="s">
        <v>105</v>
      </c>
      <c r="B32" s="2" t="s">
        <v>110</v>
      </c>
      <c r="C32" s="2" t="s">
        <v>111</v>
      </c>
      <c r="D32" s="2" t="s">
        <v>522</v>
      </c>
      <c r="E32" s="3">
        <v>46255</v>
      </c>
    </row>
    <row r="33" spans="1:5" ht="57.6" x14ac:dyDescent="0.3">
      <c r="A33" s="2" t="s">
        <v>113</v>
      </c>
      <c r="B33" s="2" t="s">
        <v>118</v>
      </c>
      <c r="C33" s="2" t="s">
        <v>119</v>
      </c>
      <c r="D33" s="2" t="s">
        <v>522</v>
      </c>
      <c r="E33" s="3">
        <v>46255</v>
      </c>
    </row>
    <row r="34" spans="1:5" ht="57.6" x14ac:dyDescent="0.3">
      <c r="A34" s="2" t="s">
        <v>121</v>
      </c>
      <c r="B34" s="2" t="s">
        <v>125</v>
      </c>
      <c r="C34" s="2" t="s">
        <v>126</v>
      </c>
      <c r="D34" s="2" t="s">
        <v>522</v>
      </c>
      <c r="E34" s="3">
        <v>46255</v>
      </c>
    </row>
    <row r="35" spans="1:5" ht="57.6" x14ac:dyDescent="0.3">
      <c r="A35" s="2" t="s">
        <v>127</v>
      </c>
      <c r="B35" s="2" t="s">
        <v>131</v>
      </c>
      <c r="C35" s="2" t="s">
        <v>132</v>
      </c>
      <c r="D35" s="2" t="s">
        <v>522</v>
      </c>
      <c r="E35" s="3">
        <v>46255</v>
      </c>
    </row>
    <row r="36" spans="1:5" ht="72" x14ac:dyDescent="0.3">
      <c r="A36" s="2" t="s">
        <v>134</v>
      </c>
      <c r="B36" s="2" t="s">
        <v>138</v>
      </c>
      <c r="C36" s="2" t="s">
        <v>139</v>
      </c>
      <c r="D36" s="2" t="s">
        <v>522</v>
      </c>
      <c r="E36" s="3">
        <v>46255</v>
      </c>
    </row>
    <row r="37" spans="1:5" ht="72" x14ac:dyDescent="0.3">
      <c r="A37" s="2" t="s">
        <v>141</v>
      </c>
      <c r="B37" s="2" t="s">
        <v>146</v>
      </c>
      <c r="C37" s="2" t="s">
        <v>147</v>
      </c>
      <c r="D37" s="2" t="s">
        <v>522</v>
      </c>
      <c r="E37" s="3">
        <v>46255</v>
      </c>
    </row>
    <row r="38" spans="1:5" ht="72" x14ac:dyDescent="0.3">
      <c r="A38" s="2" t="s">
        <v>149</v>
      </c>
      <c r="B38" s="2" t="s">
        <v>153</v>
      </c>
      <c r="C38" s="2" t="s">
        <v>154</v>
      </c>
      <c r="D38" s="2" t="s">
        <v>522</v>
      </c>
      <c r="E38" s="3">
        <v>46255</v>
      </c>
    </row>
    <row r="39" spans="1:5" ht="86.4" x14ac:dyDescent="0.3">
      <c r="A39" s="2" t="s">
        <v>156</v>
      </c>
      <c r="B39" s="2" t="s">
        <v>160</v>
      </c>
      <c r="C39" s="2" t="s">
        <v>161</v>
      </c>
      <c r="D39" s="2" t="s">
        <v>522</v>
      </c>
      <c r="E39" s="3">
        <v>46255</v>
      </c>
    </row>
    <row r="40" spans="1:5" ht="86.4" x14ac:dyDescent="0.3">
      <c r="A40" s="2" t="s">
        <v>162</v>
      </c>
      <c r="B40" s="2" t="s">
        <v>167</v>
      </c>
      <c r="C40" s="2" t="s">
        <v>168</v>
      </c>
      <c r="D40" s="2" t="s">
        <v>522</v>
      </c>
      <c r="E40" s="3">
        <v>46255</v>
      </c>
    </row>
    <row r="41" spans="1:5" ht="100.8" x14ac:dyDescent="0.3">
      <c r="A41" s="2" t="s">
        <v>170</v>
      </c>
      <c r="B41" s="2" t="s">
        <v>174</v>
      </c>
      <c r="C41" s="2" t="s">
        <v>175</v>
      </c>
      <c r="D41" s="2" t="s">
        <v>522</v>
      </c>
      <c r="E41" s="3">
        <v>46255</v>
      </c>
    </row>
    <row r="42" spans="1:5" ht="86.4" x14ac:dyDescent="0.3">
      <c r="A42" s="2" t="s">
        <v>177</v>
      </c>
      <c r="B42" s="2" t="s">
        <v>181</v>
      </c>
      <c r="C42" s="2" t="s">
        <v>182</v>
      </c>
      <c r="D42" s="2" t="s">
        <v>522</v>
      </c>
      <c r="E42" s="3">
        <v>46255</v>
      </c>
    </row>
    <row r="43" spans="1:5" ht="57.6" x14ac:dyDescent="0.3">
      <c r="A43" s="2" t="s">
        <v>183</v>
      </c>
      <c r="B43" s="2" t="s">
        <v>187</v>
      </c>
      <c r="C43" s="2" t="s">
        <v>188</v>
      </c>
      <c r="D43" s="2" t="s">
        <v>522</v>
      </c>
      <c r="E43" s="3">
        <v>46255</v>
      </c>
    </row>
    <row r="44" spans="1:5" ht="72" x14ac:dyDescent="0.3">
      <c r="A44" s="2" t="s">
        <v>189</v>
      </c>
      <c r="B44" s="2" t="s">
        <v>194</v>
      </c>
      <c r="C44" s="2" t="s">
        <v>195</v>
      </c>
      <c r="D44" s="2" t="s">
        <v>522</v>
      </c>
      <c r="E44" s="3">
        <v>46255</v>
      </c>
    </row>
    <row r="45" spans="1:5" ht="57.6" x14ac:dyDescent="0.3">
      <c r="A45" s="2" t="s">
        <v>197</v>
      </c>
      <c r="B45" s="2" t="s">
        <v>201</v>
      </c>
      <c r="C45" s="2" t="s">
        <v>202</v>
      </c>
      <c r="D45" s="2" t="s">
        <v>522</v>
      </c>
      <c r="E45" s="3">
        <v>46255</v>
      </c>
    </row>
    <row r="46" spans="1:5" ht="57.6" x14ac:dyDescent="0.3">
      <c r="A46" s="2" t="s">
        <v>204</v>
      </c>
      <c r="B46" s="2" t="s">
        <v>208</v>
      </c>
      <c r="C46" s="2" t="s">
        <v>209</v>
      </c>
      <c r="D46" s="2" t="s">
        <v>522</v>
      </c>
      <c r="E46" s="3">
        <v>46255</v>
      </c>
    </row>
    <row r="47" spans="1:5" ht="57.6" x14ac:dyDescent="0.3">
      <c r="A47" s="2" t="s">
        <v>211</v>
      </c>
      <c r="B47" s="2" t="s">
        <v>214</v>
      </c>
      <c r="C47" s="2" t="s">
        <v>215</v>
      </c>
      <c r="D47" s="2" t="s">
        <v>522</v>
      </c>
      <c r="E47" s="3">
        <v>46255</v>
      </c>
    </row>
    <row r="48" spans="1:5" ht="86.4" x14ac:dyDescent="0.3">
      <c r="A48" s="2" t="s">
        <v>217</v>
      </c>
      <c r="B48" s="2" t="s">
        <v>221</v>
      </c>
      <c r="C48" s="2" t="s">
        <v>222</v>
      </c>
      <c r="D48" s="2" t="s">
        <v>522</v>
      </c>
      <c r="E48" s="3">
        <v>46255</v>
      </c>
    </row>
    <row r="49" spans="1:5" ht="86.4" x14ac:dyDescent="0.3">
      <c r="A49" s="2" t="s">
        <v>224</v>
      </c>
      <c r="B49" s="2" t="s">
        <v>229</v>
      </c>
      <c r="C49" s="2" t="s">
        <v>222</v>
      </c>
      <c r="D49" s="2" t="s">
        <v>522</v>
      </c>
      <c r="E49" s="3">
        <v>46255</v>
      </c>
    </row>
    <row r="50" spans="1:5" ht="57.6" x14ac:dyDescent="0.3">
      <c r="A50" s="2" t="s">
        <v>231</v>
      </c>
      <c r="B50" s="2" t="s">
        <v>235</v>
      </c>
      <c r="C50" s="2" t="s">
        <v>236</v>
      </c>
      <c r="D50" s="2" t="s">
        <v>522</v>
      </c>
      <c r="E50" s="3">
        <v>46255</v>
      </c>
    </row>
    <row r="51" spans="1:5" ht="57.6" x14ac:dyDescent="0.3">
      <c r="A51" s="2" t="s">
        <v>333</v>
      </c>
      <c r="B51" s="2" t="s">
        <v>344</v>
      </c>
      <c r="C51" s="2" t="s">
        <v>341</v>
      </c>
      <c r="D51" s="2" t="s">
        <v>522</v>
      </c>
      <c r="E51" s="3">
        <v>46255</v>
      </c>
    </row>
    <row r="52" spans="1:5" ht="57.6" x14ac:dyDescent="0.3">
      <c r="A52" s="2" t="s">
        <v>333</v>
      </c>
      <c r="B52" s="2" t="s">
        <v>365</v>
      </c>
      <c r="C52" s="2" t="s">
        <v>341</v>
      </c>
      <c r="D52" s="2" t="s">
        <v>522</v>
      </c>
      <c r="E52" s="3">
        <v>46255</v>
      </c>
    </row>
    <row r="53" spans="1:5" ht="57.6" x14ac:dyDescent="0.3">
      <c r="A53" s="2" t="s">
        <v>333</v>
      </c>
      <c r="B53" s="2" t="s">
        <v>356</v>
      </c>
      <c r="C53" s="2" t="s">
        <v>341</v>
      </c>
      <c r="D53" s="2" t="s">
        <v>522</v>
      </c>
      <c r="E53" s="3">
        <v>46255</v>
      </c>
    </row>
    <row r="54" spans="1:5" ht="57.6" x14ac:dyDescent="0.3">
      <c r="A54" s="2" t="s">
        <v>333</v>
      </c>
      <c r="B54" s="2" t="s">
        <v>362</v>
      </c>
      <c r="C54" s="2" t="s">
        <v>341</v>
      </c>
      <c r="D54" s="2" t="s">
        <v>522</v>
      </c>
      <c r="E54" s="3">
        <v>46255</v>
      </c>
    </row>
    <row r="55" spans="1:5" ht="57.6" x14ac:dyDescent="0.3">
      <c r="A55" s="2" t="s">
        <v>333</v>
      </c>
      <c r="B55" s="2" t="s">
        <v>340</v>
      </c>
      <c r="C55" s="2" t="s">
        <v>341</v>
      </c>
      <c r="D55" s="2" t="s">
        <v>522</v>
      </c>
      <c r="E55" s="3">
        <v>46255</v>
      </c>
    </row>
    <row r="56" spans="1:5" ht="57.6" x14ac:dyDescent="0.3">
      <c r="A56" s="2" t="s">
        <v>333</v>
      </c>
      <c r="B56" s="2" t="s">
        <v>350</v>
      </c>
      <c r="C56" s="2" t="s">
        <v>341</v>
      </c>
      <c r="D56" s="2" t="s">
        <v>522</v>
      </c>
      <c r="E56" s="3">
        <v>46255</v>
      </c>
    </row>
    <row r="57" spans="1:5" ht="57.6" x14ac:dyDescent="0.3">
      <c r="A57" s="2" t="s">
        <v>333</v>
      </c>
      <c r="B57" s="2" t="s">
        <v>353</v>
      </c>
      <c r="C57" s="2" t="s">
        <v>341</v>
      </c>
      <c r="D57" s="2" t="s">
        <v>522</v>
      </c>
      <c r="E57" s="3">
        <v>46255</v>
      </c>
    </row>
    <row r="58" spans="1:5" ht="57.6" x14ac:dyDescent="0.3">
      <c r="A58" s="2" t="s">
        <v>333</v>
      </c>
      <c r="B58" s="2" t="s">
        <v>359</v>
      </c>
      <c r="C58" s="2" t="s">
        <v>341</v>
      </c>
      <c r="D58" s="2" t="s">
        <v>522</v>
      </c>
      <c r="E58" s="3">
        <v>46255</v>
      </c>
    </row>
    <row r="59" spans="1:5" ht="57.6" x14ac:dyDescent="0.3">
      <c r="A59" s="2" t="s">
        <v>333</v>
      </c>
      <c r="B59" s="2" t="s">
        <v>347</v>
      </c>
      <c r="C59" s="2" t="s">
        <v>341</v>
      </c>
      <c r="D59" s="2" t="s">
        <v>522</v>
      </c>
      <c r="E59" s="3">
        <v>46255</v>
      </c>
    </row>
    <row r="60" spans="1:5" ht="57.6" x14ac:dyDescent="0.3">
      <c r="A60" s="2" t="s">
        <v>367</v>
      </c>
      <c r="B60" s="2" t="s">
        <v>372</v>
      </c>
      <c r="C60" s="2" t="s">
        <v>373</v>
      </c>
      <c r="D60" s="2" t="s">
        <v>522</v>
      </c>
      <c r="E60" s="3">
        <v>46255</v>
      </c>
    </row>
    <row r="61" spans="1:5" ht="57.6" x14ac:dyDescent="0.3">
      <c r="A61" s="2" t="s">
        <v>375</v>
      </c>
      <c r="B61" s="2" t="s">
        <v>380</v>
      </c>
      <c r="C61" s="2" t="s">
        <v>381</v>
      </c>
      <c r="D61" s="2" t="s">
        <v>522</v>
      </c>
      <c r="E61" s="3">
        <v>46255</v>
      </c>
    </row>
    <row r="62" spans="1:5" ht="57.6" x14ac:dyDescent="0.3">
      <c r="A62" s="2" t="s">
        <v>403</v>
      </c>
      <c r="B62" s="2" t="s">
        <v>409</v>
      </c>
      <c r="C62" s="2" t="s">
        <v>406</v>
      </c>
      <c r="D62" s="2" t="s">
        <v>522</v>
      </c>
      <c r="E62" s="3">
        <v>46255</v>
      </c>
    </row>
    <row r="63" spans="1:5" ht="86.4" x14ac:dyDescent="0.3">
      <c r="A63" s="2" t="s">
        <v>403</v>
      </c>
      <c r="B63" s="2" t="s">
        <v>415</v>
      </c>
      <c r="C63" s="2" t="s">
        <v>406</v>
      </c>
      <c r="D63" s="2" t="s">
        <v>522</v>
      </c>
      <c r="E63" s="3">
        <v>46255</v>
      </c>
    </row>
    <row r="64" spans="1:5" ht="57.6" x14ac:dyDescent="0.3">
      <c r="A64" s="2" t="s">
        <v>403</v>
      </c>
      <c r="B64" s="2" t="s">
        <v>412</v>
      </c>
      <c r="C64" s="2" t="s">
        <v>406</v>
      </c>
      <c r="D64" s="2" t="s">
        <v>522</v>
      </c>
      <c r="E64" s="3">
        <v>46255</v>
      </c>
    </row>
    <row r="65" spans="1:5" ht="57.6" x14ac:dyDescent="0.3">
      <c r="A65" s="2" t="s">
        <v>403</v>
      </c>
      <c r="B65" s="2" t="s">
        <v>405</v>
      </c>
      <c r="C65" s="2" t="s">
        <v>406</v>
      </c>
      <c r="D65" s="2" t="s">
        <v>522</v>
      </c>
      <c r="E65" s="3">
        <v>46255</v>
      </c>
    </row>
    <row r="66" spans="1:5" ht="57.6" x14ac:dyDescent="0.3">
      <c r="A66" s="2" t="s">
        <v>403</v>
      </c>
      <c r="B66" s="2" t="s">
        <v>409</v>
      </c>
      <c r="C66" s="2" t="s">
        <v>406</v>
      </c>
      <c r="D66" s="2" t="s">
        <v>522</v>
      </c>
      <c r="E66" s="3">
        <v>46255</v>
      </c>
    </row>
    <row r="67" spans="1:5" ht="57.6" x14ac:dyDescent="0.3">
      <c r="A67" s="2" t="s">
        <v>403</v>
      </c>
      <c r="B67" s="2" t="s">
        <v>409</v>
      </c>
      <c r="C67" s="2" t="s">
        <v>406</v>
      </c>
      <c r="D67" s="2" t="s">
        <v>522</v>
      </c>
      <c r="E67" s="3">
        <v>46255</v>
      </c>
    </row>
    <row r="68" spans="1:5" ht="86.4" x14ac:dyDescent="0.3">
      <c r="A68" s="2" t="s">
        <v>421</v>
      </c>
      <c r="B68" s="2" t="s">
        <v>430</v>
      </c>
      <c r="C68" s="2" t="s">
        <v>427</v>
      </c>
      <c r="D68" s="2" t="s">
        <v>522</v>
      </c>
      <c r="E68" s="3">
        <v>46255</v>
      </c>
    </row>
    <row r="69" spans="1:5" ht="86.4" x14ac:dyDescent="0.3">
      <c r="A69" s="2" t="s">
        <v>421</v>
      </c>
      <c r="B69" s="2" t="s">
        <v>426</v>
      </c>
      <c r="C69" s="2" t="s">
        <v>427</v>
      </c>
      <c r="D69" s="2" t="s">
        <v>522</v>
      </c>
      <c r="E69" s="3">
        <v>46255</v>
      </c>
    </row>
    <row r="70" spans="1:5" ht="57.6" x14ac:dyDescent="0.3">
      <c r="A70" s="2" t="s">
        <v>432</v>
      </c>
      <c r="B70" s="2" t="s">
        <v>437</v>
      </c>
      <c r="C70" s="2" t="s">
        <v>438</v>
      </c>
      <c r="D70" s="2" t="s">
        <v>522</v>
      </c>
      <c r="E70" s="3">
        <v>46255</v>
      </c>
    </row>
    <row r="71" spans="1:5" ht="72" x14ac:dyDescent="0.3">
      <c r="A71" s="2" t="s">
        <v>439</v>
      </c>
      <c r="B71" s="2" t="s">
        <v>452</v>
      </c>
      <c r="C71" s="2" t="s">
        <v>443</v>
      </c>
      <c r="D71" s="2" t="s">
        <v>522</v>
      </c>
      <c r="E71" s="3">
        <v>46255</v>
      </c>
    </row>
    <row r="72" spans="1:5" ht="57.6" x14ac:dyDescent="0.3">
      <c r="A72" s="2" t="s">
        <v>439</v>
      </c>
      <c r="B72" s="2" t="s">
        <v>449</v>
      </c>
      <c r="C72" s="2" t="s">
        <v>443</v>
      </c>
      <c r="D72" s="2" t="s">
        <v>522</v>
      </c>
      <c r="E72" s="3">
        <v>46255</v>
      </c>
    </row>
    <row r="73" spans="1:5" ht="57.6" x14ac:dyDescent="0.3">
      <c r="A73" s="2" t="s">
        <v>439</v>
      </c>
      <c r="B73" s="2" t="s">
        <v>455</v>
      </c>
      <c r="C73" s="2" t="s">
        <v>443</v>
      </c>
      <c r="D73" s="2" t="s">
        <v>522</v>
      </c>
      <c r="E73" s="3">
        <v>46255</v>
      </c>
    </row>
    <row r="74" spans="1:5" ht="57.6" x14ac:dyDescent="0.3">
      <c r="A74" s="2" t="s">
        <v>439</v>
      </c>
      <c r="B74" s="2" t="s">
        <v>446</v>
      </c>
      <c r="C74" s="2" t="s">
        <v>443</v>
      </c>
      <c r="D74" s="2" t="s">
        <v>522</v>
      </c>
      <c r="E74" s="3">
        <v>46255</v>
      </c>
    </row>
    <row r="75" spans="1:5" ht="57.6" x14ac:dyDescent="0.3">
      <c r="A75" s="2" t="s">
        <v>439</v>
      </c>
      <c r="B75" s="2" t="s">
        <v>442</v>
      </c>
      <c r="C75" s="2" t="s">
        <v>443</v>
      </c>
      <c r="D75" s="2" t="s">
        <v>522</v>
      </c>
      <c r="E75" s="3">
        <v>46255</v>
      </c>
    </row>
    <row r="76" spans="1:5" ht="72" x14ac:dyDescent="0.3">
      <c r="A76" s="2" t="s">
        <v>439</v>
      </c>
      <c r="B76" s="2" t="s">
        <v>458</v>
      </c>
      <c r="C76" s="2" t="s">
        <v>443</v>
      </c>
      <c r="D76" s="2" t="s">
        <v>522</v>
      </c>
      <c r="E76" s="3">
        <v>46255</v>
      </c>
    </row>
    <row r="77" spans="1:5" ht="57.6" x14ac:dyDescent="0.3">
      <c r="A77" s="2" t="s">
        <v>460</v>
      </c>
      <c r="B77" s="2" t="s">
        <v>463</v>
      </c>
      <c r="C77" s="2" t="s">
        <v>464</v>
      </c>
      <c r="D77" s="2" t="s">
        <v>522</v>
      </c>
      <c r="E77" s="3">
        <v>46255</v>
      </c>
    </row>
    <row r="78" spans="1:5" ht="57.6" x14ac:dyDescent="0.3">
      <c r="A78" s="2" t="s">
        <v>468</v>
      </c>
      <c r="B78" s="2" t="s">
        <v>470</v>
      </c>
      <c r="C78" s="2" t="s">
        <v>470</v>
      </c>
      <c r="D78" s="2" t="s">
        <v>522</v>
      </c>
      <c r="E78" s="3">
        <v>46255</v>
      </c>
    </row>
    <row r="79" spans="1:5" ht="57.6" x14ac:dyDescent="0.3">
      <c r="A79" s="2" t="s">
        <v>472</v>
      </c>
      <c r="B79" s="2" t="s">
        <v>476</v>
      </c>
      <c r="C79" s="2" t="s">
        <v>476</v>
      </c>
      <c r="D79" s="2" t="s">
        <v>522</v>
      </c>
      <c r="E79" s="3">
        <v>46255</v>
      </c>
    </row>
    <row r="80" spans="1:5" ht="57.6" x14ac:dyDescent="0.3">
      <c r="A80" s="2" t="s">
        <v>480</v>
      </c>
      <c r="B80" s="2" t="s">
        <v>484</v>
      </c>
      <c r="C80" s="2" t="s">
        <v>484</v>
      </c>
      <c r="D80" s="2" t="s">
        <v>522</v>
      </c>
      <c r="E80" s="3">
        <v>46255</v>
      </c>
    </row>
    <row r="81" spans="1:5" ht="57.6" x14ac:dyDescent="0.3">
      <c r="A81" s="2" t="s">
        <v>504</v>
      </c>
      <c r="B81" s="2" t="s">
        <v>509</v>
      </c>
      <c r="C81" s="2" t="s">
        <v>509</v>
      </c>
      <c r="D81" s="2" t="s">
        <v>522</v>
      </c>
      <c r="E81" s="3">
        <v>46255</v>
      </c>
    </row>
    <row r="82" spans="1:5" ht="57.6" x14ac:dyDescent="0.3">
      <c r="A82" s="2" t="s">
        <v>510</v>
      </c>
      <c r="B82" s="2" t="s">
        <v>514</v>
      </c>
      <c r="C82" s="2" t="s">
        <v>514</v>
      </c>
      <c r="D82" s="2" t="s">
        <v>522</v>
      </c>
      <c r="E82" s="3">
        <v>46255</v>
      </c>
    </row>
  </sheetData>
  <autoFilter ref="A1:E82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7"/>
  <sheetViews>
    <sheetView workbookViewId="0"/>
  </sheetViews>
  <sheetFormatPr defaultRowHeight="14.4" x14ac:dyDescent="0.3"/>
  <cols>
    <col min="1" max="5" width="30" customWidth="1"/>
  </cols>
  <sheetData>
    <row r="1" spans="1:5" x14ac:dyDescent="0.3">
      <c r="A1" s="6" t="s">
        <v>15</v>
      </c>
      <c r="B1" s="6" t="s">
        <v>16</v>
      </c>
      <c r="C1" s="6" t="s">
        <v>17</v>
      </c>
      <c r="D1" s="6" t="s">
        <v>18</v>
      </c>
      <c r="E1" s="6" t="s">
        <v>21</v>
      </c>
    </row>
    <row r="2" spans="1:5" x14ac:dyDescent="0.3">
      <c r="A2" t="s">
        <v>239</v>
      </c>
      <c r="B2" t="s">
        <v>190</v>
      </c>
      <c r="C2" t="s">
        <v>30</v>
      </c>
      <c r="D2" t="s">
        <v>122</v>
      </c>
      <c r="E2" t="s">
        <v>379</v>
      </c>
    </row>
    <row r="3" spans="1:5" x14ac:dyDescent="0.3">
      <c r="A3" t="s">
        <v>28</v>
      </c>
      <c r="B3" t="s">
        <v>163</v>
      </c>
      <c r="D3" t="s">
        <v>279</v>
      </c>
      <c r="E3" t="s">
        <v>34</v>
      </c>
    </row>
    <row r="4" spans="1:5" x14ac:dyDescent="0.3">
      <c r="A4" t="s">
        <v>40</v>
      </c>
      <c r="B4" t="s">
        <v>91</v>
      </c>
      <c r="D4" t="s">
        <v>286</v>
      </c>
      <c r="E4" t="s">
        <v>339</v>
      </c>
    </row>
    <row r="5" spans="1:5" x14ac:dyDescent="0.3">
      <c r="A5" t="s">
        <v>505</v>
      </c>
      <c r="B5" t="s">
        <v>29</v>
      </c>
      <c r="D5" t="s">
        <v>218</v>
      </c>
    </row>
    <row r="6" spans="1:5" x14ac:dyDescent="0.3">
      <c r="A6" t="s">
        <v>368</v>
      </c>
      <c r="B6" t="s">
        <v>376</v>
      </c>
      <c r="D6" t="s">
        <v>157</v>
      </c>
    </row>
    <row r="7" spans="1:5" x14ac:dyDescent="0.3">
      <c r="A7" t="s">
        <v>334</v>
      </c>
      <c r="B7" t="s">
        <v>258</v>
      </c>
      <c r="D7" t="s">
        <v>150</v>
      </c>
    </row>
    <row r="8" spans="1:5" x14ac:dyDescent="0.3">
      <c r="B8" t="s">
        <v>225</v>
      </c>
      <c r="D8" t="s">
        <v>328</v>
      </c>
    </row>
    <row r="9" spans="1:5" x14ac:dyDescent="0.3">
      <c r="B9" t="s">
        <v>142</v>
      </c>
      <c r="D9" t="s">
        <v>481</v>
      </c>
    </row>
    <row r="10" spans="1:5" x14ac:dyDescent="0.3">
      <c r="B10" t="s">
        <v>422</v>
      </c>
      <c r="D10" t="s">
        <v>205</v>
      </c>
    </row>
    <row r="11" spans="1:5" x14ac:dyDescent="0.3">
      <c r="B11" t="s">
        <v>98</v>
      </c>
      <c r="D11" t="s">
        <v>272</v>
      </c>
    </row>
    <row r="12" spans="1:5" x14ac:dyDescent="0.3">
      <c r="B12" t="s">
        <v>335</v>
      </c>
      <c r="D12" t="s">
        <v>184</v>
      </c>
    </row>
    <row r="13" spans="1:5" x14ac:dyDescent="0.3">
      <c r="B13" t="s">
        <v>369</v>
      </c>
      <c r="D13" t="s">
        <v>226</v>
      </c>
    </row>
    <row r="14" spans="1:5" x14ac:dyDescent="0.3">
      <c r="B14" t="s">
        <v>106</v>
      </c>
      <c r="D14" t="s">
        <v>41</v>
      </c>
    </row>
    <row r="15" spans="1:5" x14ac:dyDescent="0.3">
      <c r="B15" t="s">
        <v>68</v>
      </c>
      <c r="D15" t="s">
        <v>135</v>
      </c>
    </row>
    <row r="16" spans="1:5" x14ac:dyDescent="0.3">
      <c r="B16" t="s">
        <v>433</v>
      </c>
      <c r="D16" t="s">
        <v>55</v>
      </c>
    </row>
    <row r="17" spans="2:4" x14ac:dyDescent="0.3">
      <c r="B17" t="s">
        <v>114</v>
      </c>
      <c r="D17" t="s">
        <v>198</v>
      </c>
    </row>
    <row r="18" spans="2:4" x14ac:dyDescent="0.3">
      <c r="B18" t="s">
        <v>76</v>
      </c>
      <c r="D18" t="s">
        <v>115</v>
      </c>
    </row>
    <row r="19" spans="2:4" x14ac:dyDescent="0.3">
      <c r="D19" t="s">
        <v>171</v>
      </c>
    </row>
    <row r="20" spans="2:4" x14ac:dyDescent="0.3">
      <c r="D20" t="s">
        <v>107</v>
      </c>
    </row>
    <row r="21" spans="2:4" x14ac:dyDescent="0.3">
      <c r="D21" t="s">
        <v>251</v>
      </c>
    </row>
    <row r="22" spans="2:4" x14ac:dyDescent="0.3">
      <c r="D22" t="s">
        <v>506</v>
      </c>
    </row>
    <row r="23" spans="2:4" x14ac:dyDescent="0.3">
      <c r="D23" t="s">
        <v>511</v>
      </c>
    </row>
    <row r="24" spans="2:4" x14ac:dyDescent="0.3">
      <c r="D24" t="s">
        <v>84</v>
      </c>
    </row>
    <row r="25" spans="2:4" x14ac:dyDescent="0.3">
      <c r="D25" t="s">
        <v>69</v>
      </c>
    </row>
    <row r="26" spans="2:4" x14ac:dyDescent="0.3">
      <c r="D26" t="s">
        <v>143</v>
      </c>
    </row>
    <row r="27" spans="2:4" x14ac:dyDescent="0.3">
      <c r="D27" t="s">
        <v>164</v>
      </c>
    </row>
    <row r="28" spans="2:4" x14ac:dyDescent="0.3">
      <c r="D28" t="s">
        <v>259</v>
      </c>
    </row>
    <row r="29" spans="2:4" x14ac:dyDescent="0.3">
      <c r="D29" t="s">
        <v>31</v>
      </c>
    </row>
    <row r="30" spans="2:4" x14ac:dyDescent="0.3">
      <c r="D30" t="s">
        <v>178</v>
      </c>
    </row>
    <row r="31" spans="2:4" x14ac:dyDescent="0.3">
      <c r="D31" t="s">
        <v>316</v>
      </c>
    </row>
    <row r="32" spans="2:4" x14ac:dyDescent="0.3">
      <c r="D32" t="s">
        <v>295</v>
      </c>
    </row>
    <row r="33" spans="4:4" x14ac:dyDescent="0.3">
      <c r="D33" t="s">
        <v>191</v>
      </c>
    </row>
    <row r="34" spans="4:4" x14ac:dyDescent="0.3">
      <c r="D34" t="s">
        <v>92</v>
      </c>
    </row>
    <row r="35" spans="4:4" x14ac:dyDescent="0.3">
      <c r="D35" t="s">
        <v>336</v>
      </c>
    </row>
    <row r="36" spans="4:4" x14ac:dyDescent="0.3">
      <c r="D36" t="s">
        <v>473</v>
      </c>
    </row>
    <row r="37" spans="4:4" x14ac:dyDescent="0.3">
      <c r="D37" t="s">
        <v>434</v>
      </c>
    </row>
    <row r="38" spans="4:4" x14ac:dyDescent="0.3">
      <c r="D38" t="s">
        <v>423</v>
      </c>
    </row>
    <row r="39" spans="4:4" x14ac:dyDescent="0.3">
      <c r="D39" t="s">
        <v>48</v>
      </c>
    </row>
    <row r="40" spans="4:4" x14ac:dyDescent="0.3">
      <c r="D40" t="s">
        <v>99</v>
      </c>
    </row>
    <row r="41" spans="4:4" x14ac:dyDescent="0.3">
      <c r="D41" t="s">
        <v>77</v>
      </c>
    </row>
    <row r="42" spans="4:4" x14ac:dyDescent="0.3">
      <c r="D42" t="s">
        <v>212</v>
      </c>
    </row>
    <row r="43" spans="4:4" x14ac:dyDescent="0.3">
      <c r="D43" t="s">
        <v>61</v>
      </c>
    </row>
    <row r="44" spans="4:4" x14ac:dyDescent="0.3">
      <c r="D44" t="s">
        <v>308</v>
      </c>
    </row>
    <row r="45" spans="4:4" x14ac:dyDescent="0.3">
      <c r="D45" t="s">
        <v>232</v>
      </c>
    </row>
    <row r="46" spans="4:4" x14ac:dyDescent="0.3">
      <c r="D46" t="s">
        <v>322</v>
      </c>
    </row>
    <row r="47" spans="4:4" x14ac:dyDescent="0.3">
      <c r="D47" t="s">
        <v>128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Internships</vt:lpstr>
      <vt:lpstr>Full-time</vt:lpstr>
      <vt:lpstr>Part-time</vt:lpstr>
      <vt:lpstr>All Jobs</vt:lpstr>
      <vt:lpstr>Research Sources</vt:lpstr>
      <vt:lpstr>Filter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kausthu raj</cp:lastModifiedBy>
  <dcterms:created xsi:type="dcterms:W3CDTF">2026-08-21T14:30:23Z</dcterms:created>
  <dcterms:modified xsi:type="dcterms:W3CDTF">2026-08-21T14:42:05Z</dcterms:modified>
</cp:coreProperties>
</file>